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ri\Downloads\"/>
    </mc:Choice>
  </mc:AlternateContent>
  <xr:revisionPtr revIDLastSave="0" documentId="11_3843BC174CC47D33769F4DFCAC77FFA70FCF9250" xr6:coauthVersionLast="47" xr6:coauthVersionMax="47" xr10:uidLastSave="{00000000-0000-0000-0000-000000000000}"/>
  <bookViews>
    <workbookView xWindow="-108" yWindow="-108" windowWidth="23256" windowHeight="13176" tabRatio="684" xr2:uid="{00000000-000D-0000-FFFF-FFFF00000000}"/>
  </bookViews>
  <sheets>
    <sheet name="README" sheetId="1" r:id="rId1"/>
    <sheet name="Dashboard" sheetId="2" r:id="rId2"/>
    <sheet name="Cleaned_Data" sheetId="3" r:id="rId3"/>
    <sheet name="Analysis" sheetId="4" r:id="rId4"/>
    <sheet name="Raw_Data" sheetId="5" r:id="rId5"/>
    <sheet name="Cleaning_Log" sheetId="6" r:id="rId6"/>
    <sheet name="Exceptions_Log" sheetId="7" r:id="rId7"/>
    <sheet name="Customers" sheetId="8" r:id="rId8"/>
    <sheet name="Products" sheetId="9" r:id="rId9"/>
  </sheets>
  <definedNames>
    <definedName name="_xlnm.Print_Area" localSheetId="3">Analysis!$A$1:$E$51</definedName>
    <definedName name="_xlnm.Print_Area" localSheetId="2">Cleaned_Data!$A$1:$T$262</definedName>
    <definedName name="_xlnm.Print_Area" localSheetId="5">Cleaning_Log!$A$1:$D$11</definedName>
    <definedName name="_xlnm.Print_Area" localSheetId="7">Customers!$A$1:$D$31</definedName>
    <definedName name="_xlnm.Print_Area" localSheetId="1">Dashboard!$A$1:$R$53</definedName>
    <definedName name="_xlnm.Print_Area" localSheetId="6">Exceptions_Log!$A$1:$E$9</definedName>
    <definedName name="_xlnm.Print_Area" localSheetId="8">Products!$A$1:$D$31</definedName>
    <definedName name="_xlnm.Print_Area" localSheetId="4">Raw_Data!$A$1:$I$285</definedName>
    <definedName name="_xlnm.Print_Area" localSheetId="0">README!$A$1:$E$32</definedName>
    <definedName name="_xlnm.Print_Titles" localSheetId="2">Cleaned_Data!$1:$1</definedName>
    <definedName name="_xlnm.Print_Titles" localSheetId="4">Raw_Data!$1:$1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S262" i="3"/>
  <c r="Q262" i="3"/>
  <c r="R262" i="3" s="1"/>
  <c r="T262" i="3" s="1"/>
  <c r="P262" i="3"/>
  <c r="O262" i="3"/>
  <c r="K262" i="3"/>
  <c r="J262" i="3"/>
  <c r="I262" i="3"/>
  <c r="G262" i="3"/>
  <c r="F262" i="3"/>
  <c r="D262" i="3"/>
  <c r="C262" i="3"/>
  <c r="S261" i="3"/>
  <c r="P261" i="3"/>
  <c r="Q261" i="3" s="1"/>
  <c r="R261" i="3" s="1"/>
  <c r="T261" i="3" s="1"/>
  <c r="O261" i="3"/>
  <c r="K261" i="3"/>
  <c r="J261" i="3"/>
  <c r="I261" i="3"/>
  <c r="G261" i="3"/>
  <c r="F261" i="3"/>
  <c r="D261" i="3"/>
  <c r="C261" i="3"/>
  <c r="S260" i="3"/>
  <c r="P260" i="3"/>
  <c r="O260" i="3"/>
  <c r="Q260" i="3" s="1"/>
  <c r="R260" i="3" s="1"/>
  <c r="T260" i="3" s="1"/>
  <c r="K260" i="3"/>
  <c r="J260" i="3"/>
  <c r="I260" i="3"/>
  <c r="G260" i="3"/>
  <c r="F260" i="3"/>
  <c r="D260" i="3"/>
  <c r="C260" i="3"/>
  <c r="S259" i="3"/>
  <c r="P259" i="3"/>
  <c r="Q259" i="3" s="1"/>
  <c r="R259" i="3" s="1"/>
  <c r="T259" i="3" s="1"/>
  <c r="O259" i="3"/>
  <c r="K259" i="3"/>
  <c r="J259" i="3"/>
  <c r="I259" i="3"/>
  <c r="G259" i="3"/>
  <c r="F259" i="3"/>
  <c r="D259" i="3"/>
  <c r="C259" i="3"/>
  <c r="S258" i="3"/>
  <c r="Q258" i="3"/>
  <c r="R258" i="3" s="1"/>
  <c r="T258" i="3" s="1"/>
  <c r="P258" i="3"/>
  <c r="O258" i="3"/>
  <c r="K258" i="3"/>
  <c r="J258" i="3"/>
  <c r="I258" i="3"/>
  <c r="G258" i="3"/>
  <c r="F258" i="3"/>
  <c r="D258" i="3"/>
  <c r="C258" i="3"/>
  <c r="S257" i="3"/>
  <c r="R257" i="3"/>
  <c r="T257" i="3" s="1"/>
  <c r="Q257" i="3"/>
  <c r="P257" i="3"/>
  <c r="O257" i="3"/>
  <c r="K257" i="3"/>
  <c r="J257" i="3"/>
  <c r="I257" i="3"/>
  <c r="G257" i="3"/>
  <c r="F257" i="3"/>
  <c r="D257" i="3"/>
  <c r="C257" i="3"/>
  <c r="S256" i="3"/>
  <c r="Q256" i="3"/>
  <c r="R256" i="3" s="1"/>
  <c r="T256" i="3" s="1"/>
  <c r="P256" i="3"/>
  <c r="O256" i="3"/>
  <c r="K256" i="3"/>
  <c r="J256" i="3"/>
  <c r="I256" i="3"/>
  <c r="G256" i="3"/>
  <c r="F256" i="3"/>
  <c r="D256" i="3"/>
  <c r="C256" i="3"/>
  <c r="S255" i="3"/>
  <c r="P255" i="3"/>
  <c r="Q255" i="3" s="1"/>
  <c r="R255" i="3" s="1"/>
  <c r="T255" i="3" s="1"/>
  <c r="O255" i="3"/>
  <c r="K255" i="3"/>
  <c r="J255" i="3"/>
  <c r="I255" i="3"/>
  <c r="G255" i="3"/>
  <c r="F255" i="3"/>
  <c r="D255" i="3"/>
  <c r="C255" i="3"/>
  <c r="S254" i="3"/>
  <c r="Q254" i="3"/>
  <c r="R254" i="3" s="1"/>
  <c r="T254" i="3" s="1"/>
  <c r="P254" i="3"/>
  <c r="O254" i="3"/>
  <c r="K254" i="3"/>
  <c r="J254" i="3"/>
  <c r="I254" i="3"/>
  <c r="G254" i="3"/>
  <c r="F254" i="3"/>
  <c r="D254" i="3"/>
  <c r="C254" i="3"/>
  <c r="S253" i="3"/>
  <c r="R253" i="3"/>
  <c r="T253" i="3" s="1"/>
  <c r="P253" i="3"/>
  <c r="Q253" i="3" s="1"/>
  <c r="O253" i="3"/>
  <c r="K253" i="3"/>
  <c r="J253" i="3"/>
  <c r="I253" i="3"/>
  <c r="G253" i="3"/>
  <c r="F253" i="3"/>
  <c r="D253" i="3"/>
  <c r="C253" i="3"/>
  <c r="S252" i="3"/>
  <c r="P252" i="3"/>
  <c r="O252" i="3"/>
  <c r="Q252" i="3" s="1"/>
  <c r="R252" i="3" s="1"/>
  <c r="T252" i="3" s="1"/>
  <c r="K252" i="3"/>
  <c r="J252" i="3"/>
  <c r="I252" i="3"/>
  <c r="G252" i="3"/>
  <c r="F252" i="3"/>
  <c r="D252" i="3"/>
  <c r="C252" i="3"/>
  <c r="S251" i="3"/>
  <c r="P251" i="3"/>
  <c r="Q251" i="3" s="1"/>
  <c r="R251" i="3" s="1"/>
  <c r="T251" i="3" s="1"/>
  <c r="O251" i="3"/>
  <c r="K251" i="3"/>
  <c r="J251" i="3"/>
  <c r="I251" i="3"/>
  <c r="G251" i="3"/>
  <c r="F251" i="3"/>
  <c r="D251" i="3"/>
  <c r="C251" i="3"/>
  <c r="S250" i="3"/>
  <c r="Q250" i="3"/>
  <c r="R250" i="3" s="1"/>
  <c r="T250" i="3" s="1"/>
  <c r="P250" i="3"/>
  <c r="O250" i="3"/>
  <c r="K250" i="3"/>
  <c r="J250" i="3"/>
  <c r="I250" i="3"/>
  <c r="G250" i="3"/>
  <c r="F250" i="3"/>
  <c r="D250" i="3"/>
  <c r="C250" i="3"/>
  <c r="S249" i="3"/>
  <c r="R249" i="3"/>
  <c r="T249" i="3" s="1"/>
  <c r="Q249" i="3"/>
  <c r="P249" i="3"/>
  <c r="O249" i="3"/>
  <c r="K249" i="3"/>
  <c r="J249" i="3"/>
  <c r="I249" i="3"/>
  <c r="G249" i="3"/>
  <c r="F249" i="3"/>
  <c r="D249" i="3"/>
  <c r="C249" i="3"/>
  <c r="S248" i="3"/>
  <c r="Q248" i="3"/>
  <c r="R248" i="3" s="1"/>
  <c r="T248" i="3" s="1"/>
  <c r="P248" i="3"/>
  <c r="O248" i="3"/>
  <c r="K248" i="3"/>
  <c r="J248" i="3"/>
  <c r="I248" i="3"/>
  <c r="G248" i="3"/>
  <c r="F248" i="3"/>
  <c r="D248" i="3"/>
  <c r="C248" i="3"/>
  <c r="S247" i="3"/>
  <c r="P247" i="3"/>
  <c r="Q247" i="3" s="1"/>
  <c r="R247" i="3" s="1"/>
  <c r="T247" i="3" s="1"/>
  <c r="O247" i="3"/>
  <c r="K247" i="3"/>
  <c r="J247" i="3"/>
  <c r="I247" i="3"/>
  <c r="G247" i="3"/>
  <c r="F247" i="3"/>
  <c r="D247" i="3"/>
  <c r="C247" i="3"/>
  <c r="S246" i="3"/>
  <c r="Q246" i="3"/>
  <c r="R246" i="3" s="1"/>
  <c r="T246" i="3" s="1"/>
  <c r="P246" i="3"/>
  <c r="O246" i="3"/>
  <c r="K246" i="3"/>
  <c r="J246" i="3"/>
  <c r="I246" i="3"/>
  <c r="G246" i="3"/>
  <c r="F246" i="3"/>
  <c r="D246" i="3"/>
  <c r="C246" i="3"/>
  <c r="S245" i="3"/>
  <c r="P245" i="3"/>
  <c r="Q245" i="3" s="1"/>
  <c r="R245" i="3" s="1"/>
  <c r="T245" i="3" s="1"/>
  <c r="O245" i="3"/>
  <c r="K245" i="3"/>
  <c r="J245" i="3"/>
  <c r="I245" i="3"/>
  <c r="G245" i="3"/>
  <c r="F245" i="3"/>
  <c r="D245" i="3"/>
  <c r="C245" i="3"/>
  <c r="S244" i="3"/>
  <c r="P244" i="3"/>
  <c r="O244" i="3"/>
  <c r="Q244" i="3" s="1"/>
  <c r="R244" i="3" s="1"/>
  <c r="T244" i="3" s="1"/>
  <c r="K244" i="3"/>
  <c r="J244" i="3"/>
  <c r="I244" i="3"/>
  <c r="G244" i="3"/>
  <c r="F244" i="3"/>
  <c r="D244" i="3"/>
  <c r="C244" i="3"/>
  <c r="S243" i="3"/>
  <c r="R243" i="3"/>
  <c r="T243" i="3" s="1"/>
  <c r="P243" i="3"/>
  <c r="Q243" i="3" s="1"/>
  <c r="O243" i="3"/>
  <c r="K243" i="3"/>
  <c r="J243" i="3"/>
  <c r="I243" i="3"/>
  <c r="G243" i="3"/>
  <c r="F243" i="3"/>
  <c r="D243" i="3"/>
  <c r="C243" i="3"/>
  <c r="S242" i="3"/>
  <c r="P242" i="3"/>
  <c r="O242" i="3"/>
  <c r="Q242" i="3" s="1"/>
  <c r="R242" i="3" s="1"/>
  <c r="T242" i="3" s="1"/>
  <c r="K242" i="3"/>
  <c r="J242" i="3"/>
  <c r="I242" i="3"/>
  <c r="G242" i="3"/>
  <c r="F242" i="3"/>
  <c r="D242" i="3"/>
  <c r="C242" i="3"/>
  <c r="S241" i="3"/>
  <c r="R241" i="3"/>
  <c r="T241" i="3" s="1"/>
  <c r="Q241" i="3"/>
  <c r="P241" i="3"/>
  <c r="O241" i="3"/>
  <c r="K241" i="3"/>
  <c r="J241" i="3"/>
  <c r="I241" i="3"/>
  <c r="G241" i="3"/>
  <c r="F241" i="3"/>
  <c r="D241" i="3"/>
  <c r="C241" i="3"/>
  <c r="S240" i="3"/>
  <c r="P240" i="3"/>
  <c r="O240" i="3"/>
  <c r="Q240" i="3" s="1"/>
  <c r="R240" i="3" s="1"/>
  <c r="T240" i="3" s="1"/>
  <c r="K240" i="3"/>
  <c r="J240" i="3"/>
  <c r="I240" i="3"/>
  <c r="G240" i="3"/>
  <c r="F240" i="3"/>
  <c r="D240" i="3"/>
  <c r="C240" i="3"/>
  <c r="S239" i="3"/>
  <c r="P239" i="3"/>
  <c r="Q239" i="3" s="1"/>
  <c r="R239" i="3" s="1"/>
  <c r="T239" i="3" s="1"/>
  <c r="O239" i="3"/>
  <c r="K239" i="3"/>
  <c r="J239" i="3"/>
  <c r="I239" i="3"/>
  <c r="G239" i="3"/>
  <c r="F239" i="3"/>
  <c r="D239" i="3"/>
  <c r="C239" i="3"/>
  <c r="S238" i="3"/>
  <c r="Q238" i="3"/>
  <c r="R238" i="3" s="1"/>
  <c r="T238" i="3" s="1"/>
  <c r="P238" i="3"/>
  <c r="O238" i="3"/>
  <c r="K238" i="3"/>
  <c r="J238" i="3"/>
  <c r="I238" i="3"/>
  <c r="G238" i="3"/>
  <c r="F238" i="3"/>
  <c r="D238" i="3"/>
  <c r="C238" i="3"/>
  <c r="S237" i="3"/>
  <c r="P237" i="3"/>
  <c r="Q237" i="3" s="1"/>
  <c r="R237" i="3" s="1"/>
  <c r="T237" i="3" s="1"/>
  <c r="O237" i="3"/>
  <c r="K237" i="3"/>
  <c r="J237" i="3"/>
  <c r="I237" i="3"/>
  <c r="G237" i="3"/>
  <c r="F237" i="3"/>
  <c r="D237" i="3"/>
  <c r="C237" i="3"/>
  <c r="S236" i="3"/>
  <c r="P236" i="3"/>
  <c r="O236" i="3"/>
  <c r="Q236" i="3" s="1"/>
  <c r="R236" i="3" s="1"/>
  <c r="T236" i="3" s="1"/>
  <c r="K236" i="3"/>
  <c r="J236" i="3"/>
  <c r="I236" i="3"/>
  <c r="G236" i="3"/>
  <c r="F236" i="3"/>
  <c r="D236" i="3"/>
  <c r="C236" i="3"/>
  <c r="S235" i="3"/>
  <c r="P235" i="3"/>
  <c r="Q235" i="3" s="1"/>
  <c r="R235" i="3" s="1"/>
  <c r="T235" i="3" s="1"/>
  <c r="O235" i="3"/>
  <c r="K235" i="3"/>
  <c r="J235" i="3"/>
  <c r="I235" i="3"/>
  <c r="G235" i="3"/>
  <c r="F235" i="3"/>
  <c r="D235" i="3"/>
  <c r="C235" i="3"/>
  <c r="S234" i="3"/>
  <c r="P234" i="3"/>
  <c r="O234" i="3"/>
  <c r="Q234" i="3" s="1"/>
  <c r="R234" i="3" s="1"/>
  <c r="T234" i="3" s="1"/>
  <c r="K234" i="3"/>
  <c r="J234" i="3"/>
  <c r="I234" i="3"/>
  <c r="G234" i="3"/>
  <c r="F234" i="3"/>
  <c r="D234" i="3"/>
  <c r="C234" i="3"/>
  <c r="T233" i="3"/>
  <c r="S233" i="3"/>
  <c r="R233" i="3"/>
  <c r="Q233" i="3"/>
  <c r="P233" i="3"/>
  <c r="O233" i="3"/>
  <c r="K233" i="3"/>
  <c r="J233" i="3"/>
  <c r="I233" i="3"/>
  <c r="G233" i="3"/>
  <c r="F233" i="3"/>
  <c r="D233" i="3"/>
  <c r="C233" i="3"/>
  <c r="S232" i="3"/>
  <c r="P232" i="3"/>
  <c r="O232" i="3"/>
  <c r="Q232" i="3" s="1"/>
  <c r="R232" i="3" s="1"/>
  <c r="T232" i="3" s="1"/>
  <c r="K232" i="3"/>
  <c r="J232" i="3"/>
  <c r="I232" i="3"/>
  <c r="G232" i="3"/>
  <c r="F232" i="3"/>
  <c r="D232" i="3"/>
  <c r="C232" i="3"/>
  <c r="T231" i="3"/>
  <c r="S231" i="3"/>
  <c r="P231" i="3"/>
  <c r="Q231" i="3" s="1"/>
  <c r="R231" i="3" s="1"/>
  <c r="O231" i="3"/>
  <c r="K231" i="3"/>
  <c r="J231" i="3"/>
  <c r="I231" i="3"/>
  <c r="G231" i="3"/>
  <c r="F231" i="3"/>
  <c r="D231" i="3"/>
  <c r="C231" i="3"/>
  <c r="S230" i="3"/>
  <c r="Q230" i="3"/>
  <c r="R230" i="3" s="1"/>
  <c r="T230" i="3" s="1"/>
  <c r="P230" i="3"/>
  <c r="O230" i="3"/>
  <c r="K230" i="3"/>
  <c r="J230" i="3"/>
  <c r="I230" i="3"/>
  <c r="G230" i="3"/>
  <c r="F230" i="3"/>
  <c r="D230" i="3"/>
  <c r="C230" i="3"/>
  <c r="S229" i="3"/>
  <c r="P229" i="3"/>
  <c r="Q229" i="3" s="1"/>
  <c r="R229" i="3" s="1"/>
  <c r="T229" i="3" s="1"/>
  <c r="O229" i="3"/>
  <c r="K229" i="3"/>
  <c r="J229" i="3"/>
  <c r="I229" i="3"/>
  <c r="G229" i="3"/>
  <c r="F229" i="3"/>
  <c r="D229" i="3"/>
  <c r="C229" i="3"/>
  <c r="S228" i="3"/>
  <c r="P228" i="3"/>
  <c r="O228" i="3"/>
  <c r="Q228" i="3" s="1"/>
  <c r="R228" i="3" s="1"/>
  <c r="T228" i="3" s="1"/>
  <c r="K228" i="3"/>
  <c r="J228" i="3"/>
  <c r="I228" i="3"/>
  <c r="G228" i="3"/>
  <c r="F228" i="3"/>
  <c r="D228" i="3"/>
  <c r="C228" i="3"/>
  <c r="S227" i="3"/>
  <c r="P227" i="3"/>
  <c r="Q227" i="3" s="1"/>
  <c r="R227" i="3" s="1"/>
  <c r="T227" i="3" s="1"/>
  <c r="O227" i="3"/>
  <c r="K227" i="3"/>
  <c r="J227" i="3"/>
  <c r="I227" i="3"/>
  <c r="G227" i="3"/>
  <c r="F227" i="3"/>
  <c r="D227" i="3"/>
  <c r="C227" i="3"/>
  <c r="S226" i="3"/>
  <c r="Q226" i="3"/>
  <c r="R226" i="3" s="1"/>
  <c r="T226" i="3" s="1"/>
  <c r="P226" i="3"/>
  <c r="O226" i="3"/>
  <c r="K226" i="3"/>
  <c r="J226" i="3"/>
  <c r="I226" i="3"/>
  <c r="G226" i="3"/>
  <c r="F226" i="3"/>
  <c r="D226" i="3"/>
  <c r="C226" i="3"/>
  <c r="S225" i="3"/>
  <c r="R225" i="3"/>
  <c r="T225" i="3" s="1"/>
  <c r="Q225" i="3"/>
  <c r="P225" i="3"/>
  <c r="O225" i="3"/>
  <c r="K225" i="3"/>
  <c r="J225" i="3"/>
  <c r="I225" i="3"/>
  <c r="G225" i="3"/>
  <c r="F225" i="3"/>
  <c r="D225" i="3"/>
  <c r="C225" i="3"/>
  <c r="S224" i="3"/>
  <c r="Q224" i="3"/>
  <c r="R224" i="3" s="1"/>
  <c r="T224" i="3" s="1"/>
  <c r="P224" i="3"/>
  <c r="O224" i="3"/>
  <c r="K224" i="3"/>
  <c r="J224" i="3"/>
  <c r="I224" i="3"/>
  <c r="G224" i="3"/>
  <c r="F224" i="3"/>
  <c r="D224" i="3"/>
  <c r="C224" i="3"/>
  <c r="S223" i="3"/>
  <c r="P223" i="3"/>
  <c r="Q223" i="3" s="1"/>
  <c r="R223" i="3" s="1"/>
  <c r="T223" i="3" s="1"/>
  <c r="O223" i="3"/>
  <c r="K223" i="3"/>
  <c r="J223" i="3"/>
  <c r="I223" i="3"/>
  <c r="G223" i="3"/>
  <c r="F223" i="3"/>
  <c r="D223" i="3"/>
  <c r="C223" i="3"/>
  <c r="S222" i="3"/>
  <c r="Q222" i="3"/>
  <c r="R222" i="3" s="1"/>
  <c r="T222" i="3" s="1"/>
  <c r="P222" i="3"/>
  <c r="O222" i="3"/>
  <c r="K222" i="3"/>
  <c r="J222" i="3"/>
  <c r="I222" i="3"/>
  <c r="G222" i="3"/>
  <c r="F222" i="3"/>
  <c r="D222" i="3"/>
  <c r="C222" i="3"/>
  <c r="S221" i="3"/>
  <c r="R221" i="3"/>
  <c r="T221" i="3" s="1"/>
  <c r="P221" i="3"/>
  <c r="Q221" i="3" s="1"/>
  <c r="O221" i="3"/>
  <c r="K221" i="3"/>
  <c r="J221" i="3"/>
  <c r="I221" i="3"/>
  <c r="G221" i="3"/>
  <c r="F221" i="3"/>
  <c r="D221" i="3"/>
  <c r="C221" i="3"/>
  <c r="S220" i="3"/>
  <c r="P220" i="3"/>
  <c r="O220" i="3"/>
  <c r="Q220" i="3" s="1"/>
  <c r="R220" i="3" s="1"/>
  <c r="T220" i="3" s="1"/>
  <c r="K220" i="3"/>
  <c r="J220" i="3"/>
  <c r="I220" i="3"/>
  <c r="G220" i="3"/>
  <c r="F220" i="3"/>
  <c r="D220" i="3"/>
  <c r="C220" i="3"/>
  <c r="S219" i="3"/>
  <c r="P219" i="3"/>
  <c r="Q219" i="3" s="1"/>
  <c r="R219" i="3" s="1"/>
  <c r="T219" i="3" s="1"/>
  <c r="O219" i="3"/>
  <c r="K219" i="3"/>
  <c r="J219" i="3"/>
  <c r="I219" i="3"/>
  <c r="G219" i="3"/>
  <c r="F219" i="3"/>
  <c r="D219" i="3"/>
  <c r="C219" i="3"/>
  <c r="S218" i="3"/>
  <c r="P218" i="3"/>
  <c r="O218" i="3"/>
  <c r="Q218" i="3" s="1"/>
  <c r="R218" i="3" s="1"/>
  <c r="T218" i="3" s="1"/>
  <c r="K218" i="3"/>
  <c r="J218" i="3"/>
  <c r="I218" i="3"/>
  <c r="G218" i="3"/>
  <c r="F218" i="3"/>
  <c r="D218" i="3"/>
  <c r="C218" i="3"/>
  <c r="S217" i="3"/>
  <c r="R217" i="3"/>
  <c r="T217" i="3" s="1"/>
  <c r="Q217" i="3"/>
  <c r="P217" i="3"/>
  <c r="O217" i="3"/>
  <c r="K217" i="3"/>
  <c r="J217" i="3"/>
  <c r="I217" i="3"/>
  <c r="G217" i="3"/>
  <c r="F217" i="3"/>
  <c r="D217" i="3"/>
  <c r="C217" i="3"/>
  <c r="S216" i="3"/>
  <c r="P216" i="3"/>
  <c r="O216" i="3"/>
  <c r="Q216" i="3" s="1"/>
  <c r="R216" i="3" s="1"/>
  <c r="T216" i="3" s="1"/>
  <c r="K216" i="3"/>
  <c r="J216" i="3"/>
  <c r="I216" i="3"/>
  <c r="G216" i="3"/>
  <c r="F216" i="3"/>
  <c r="D216" i="3"/>
  <c r="C216" i="3"/>
  <c r="S215" i="3"/>
  <c r="P215" i="3"/>
  <c r="O215" i="3"/>
  <c r="K215" i="3"/>
  <c r="J215" i="3"/>
  <c r="I215" i="3"/>
  <c r="G215" i="3"/>
  <c r="F215" i="3"/>
  <c r="D215" i="3"/>
  <c r="C215" i="3"/>
  <c r="T214" i="3"/>
  <c r="S214" i="3"/>
  <c r="Q214" i="3"/>
  <c r="R214" i="3" s="1"/>
  <c r="P214" i="3"/>
  <c r="O214" i="3"/>
  <c r="K214" i="3"/>
  <c r="J214" i="3"/>
  <c r="I214" i="3"/>
  <c r="G214" i="3"/>
  <c r="F214" i="3"/>
  <c r="D214" i="3"/>
  <c r="C214" i="3"/>
  <c r="S213" i="3"/>
  <c r="P213" i="3"/>
  <c r="Q213" i="3" s="1"/>
  <c r="R213" i="3" s="1"/>
  <c r="T213" i="3" s="1"/>
  <c r="O213" i="3"/>
  <c r="K213" i="3"/>
  <c r="J213" i="3"/>
  <c r="I213" i="3"/>
  <c r="G213" i="3"/>
  <c r="F213" i="3"/>
  <c r="D213" i="3"/>
  <c r="C213" i="3"/>
  <c r="S212" i="3"/>
  <c r="P212" i="3"/>
  <c r="O212" i="3"/>
  <c r="Q212" i="3" s="1"/>
  <c r="R212" i="3" s="1"/>
  <c r="T212" i="3" s="1"/>
  <c r="K212" i="3"/>
  <c r="J212" i="3"/>
  <c r="I212" i="3"/>
  <c r="G212" i="3"/>
  <c r="F212" i="3"/>
  <c r="D212" i="3"/>
  <c r="C212" i="3"/>
  <c r="S211" i="3"/>
  <c r="R211" i="3"/>
  <c r="T211" i="3" s="1"/>
  <c r="P211" i="3"/>
  <c r="Q211" i="3" s="1"/>
  <c r="O211" i="3"/>
  <c r="K211" i="3"/>
  <c r="J211" i="3"/>
  <c r="I211" i="3"/>
  <c r="G211" i="3"/>
  <c r="F211" i="3"/>
  <c r="D211" i="3"/>
  <c r="C211" i="3"/>
  <c r="S210" i="3"/>
  <c r="P210" i="3"/>
  <c r="Q210" i="3" s="1"/>
  <c r="R210" i="3" s="1"/>
  <c r="T210" i="3" s="1"/>
  <c r="O210" i="3"/>
  <c r="K210" i="3"/>
  <c r="J210" i="3"/>
  <c r="I210" i="3"/>
  <c r="G210" i="3"/>
  <c r="F210" i="3"/>
  <c r="D210" i="3"/>
  <c r="C210" i="3"/>
  <c r="T209" i="3"/>
  <c r="S209" i="3"/>
  <c r="R209" i="3"/>
  <c r="Q209" i="3"/>
  <c r="P209" i="3"/>
  <c r="O209" i="3"/>
  <c r="K209" i="3"/>
  <c r="J209" i="3"/>
  <c r="I209" i="3"/>
  <c r="G209" i="3"/>
  <c r="F209" i="3"/>
  <c r="D209" i="3"/>
  <c r="C209" i="3"/>
  <c r="S208" i="3"/>
  <c r="Q208" i="3"/>
  <c r="R208" i="3" s="1"/>
  <c r="T208" i="3" s="1"/>
  <c r="P208" i="3"/>
  <c r="O208" i="3"/>
  <c r="K208" i="3"/>
  <c r="J208" i="3"/>
  <c r="I208" i="3"/>
  <c r="G208" i="3"/>
  <c r="F208" i="3"/>
  <c r="D208" i="3"/>
  <c r="C208" i="3"/>
  <c r="S207" i="3"/>
  <c r="P207" i="3"/>
  <c r="Q207" i="3" s="1"/>
  <c r="R207" i="3" s="1"/>
  <c r="T207" i="3" s="1"/>
  <c r="O207" i="3"/>
  <c r="K207" i="3"/>
  <c r="J207" i="3"/>
  <c r="I207" i="3"/>
  <c r="G207" i="3"/>
  <c r="F207" i="3"/>
  <c r="D207" i="3"/>
  <c r="C207" i="3"/>
  <c r="S206" i="3"/>
  <c r="Q206" i="3"/>
  <c r="R206" i="3" s="1"/>
  <c r="T206" i="3" s="1"/>
  <c r="P206" i="3"/>
  <c r="O206" i="3"/>
  <c r="K206" i="3"/>
  <c r="J206" i="3"/>
  <c r="I206" i="3"/>
  <c r="G206" i="3"/>
  <c r="F206" i="3"/>
  <c r="D206" i="3"/>
  <c r="C206" i="3"/>
  <c r="S205" i="3"/>
  <c r="P205" i="3"/>
  <c r="Q205" i="3" s="1"/>
  <c r="R205" i="3" s="1"/>
  <c r="T205" i="3" s="1"/>
  <c r="O205" i="3"/>
  <c r="K205" i="3"/>
  <c r="J205" i="3"/>
  <c r="I205" i="3"/>
  <c r="G205" i="3"/>
  <c r="F205" i="3"/>
  <c r="D205" i="3"/>
  <c r="C205" i="3"/>
  <c r="S204" i="3"/>
  <c r="P204" i="3"/>
  <c r="O204" i="3"/>
  <c r="Q204" i="3" s="1"/>
  <c r="R204" i="3" s="1"/>
  <c r="T204" i="3" s="1"/>
  <c r="K204" i="3"/>
  <c r="J204" i="3"/>
  <c r="I204" i="3"/>
  <c r="G204" i="3"/>
  <c r="F204" i="3"/>
  <c r="D204" i="3"/>
  <c r="C204" i="3"/>
  <c r="S203" i="3"/>
  <c r="R203" i="3"/>
  <c r="T203" i="3" s="1"/>
  <c r="P203" i="3"/>
  <c r="Q203" i="3" s="1"/>
  <c r="O203" i="3"/>
  <c r="K203" i="3"/>
  <c r="J203" i="3"/>
  <c r="I203" i="3"/>
  <c r="G203" i="3"/>
  <c r="F203" i="3"/>
  <c r="D203" i="3"/>
  <c r="C203" i="3"/>
  <c r="S202" i="3"/>
  <c r="P202" i="3"/>
  <c r="O202" i="3"/>
  <c r="Q202" i="3" s="1"/>
  <c r="R202" i="3" s="1"/>
  <c r="T202" i="3" s="1"/>
  <c r="K202" i="3"/>
  <c r="J202" i="3"/>
  <c r="I202" i="3"/>
  <c r="G202" i="3"/>
  <c r="F202" i="3"/>
  <c r="D202" i="3"/>
  <c r="C202" i="3"/>
  <c r="S201" i="3"/>
  <c r="R201" i="3"/>
  <c r="T201" i="3" s="1"/>
  <c r="Q201" i="3"/>
  <c r="P201" i="3"/>
  <c r="O201" i="3"/>
  <c r="K201" i="3"/>
  <c r="J201" i="3"/>
  <c r="I201" i="3"/>
  <c r="G201" i="3"/>
  <c r="F201" i="3"/>
  <c r="D201" i="3"/>
  <c r="C201" i="3"/>
  <c r="S200" i="3"/>
  <c r="P200" i="3"/>
  <c r="O200" i="3"/>
  <c r="Q200" i="3" s="1"/>
  <c r="R200" i="3" s="1"/>
  <c r="T200" i="3" s="1"/>
  <c r="K200" i="3"/>
  <c r="J200" i="3"/>
  <c r="I200" i="3"/>
  <c r="G200" i="3"/>
  <c r="F200" i="3"/>
  <c r="D200" i="3"/>
  <c r="C200" i="3"/>
  <c r="S199" i="3"/>
  <c r="P199" i="3"/>
  <c r="Q199" i="3" s="1"/>
  <c r="R199" i="3" s="1"/>
  <c r="T199" i="3" s="1"/>
  <c r="O199" i="3"/>
  <c r="K199" i="3"/>
  <c r="J199" i="3"/>
  <c r="I199" i="3"/>
  <c r="G199" i="3"/>
  <c r="F199" i="3"/>
  <c r="D199" i="3"/>
  <c r="C199" i="3"/>
  <c r="S198" i="3"/>
  <c r="Q198" i="3"/>
  <c r="R198" i="3" s="1"/>
  <c r="T198" i="3" s="1"/>
  <c r="P198" i="3"/>
  <c r="O198" i="3"/>
  <c r="K198" i="3"/>
  <c r="J198" i="3"/>
  <c r="I198" i="3"/>
  <c r="G198" i="3"/>
  <c r="F198" i="3"/>
  <c r="D198" i="3"/>
  <c r="C198" i="3"/>
  <c r="S197" i="3"/>
  <c r="P197" i="3"/>
  <c r="Q197" i="3" s="1"/>
  <c r="R197" i="3" s="1"/>
  <c r="T197" i="3" s="1"/>
  <c r="O197" i="3"/>
  <c r="K197" i="3"/>
  <c r="J197" i="3"/>
  <c r="I197" i="3"/>
  <c r="G197" i="3"/>
  <c r="F197" i="3"/>
  <c r="D197" i="3"/>
  <c r="C197" i="3"/>
  <c r="S196" i="3"/>
  <c r="P196" i="3"/>
  <c r="O196" i="3"/>
  <c r="Q196" i="3" s="1"/>
  <c r="R196" i="3" s="1"/>
  <c r="T196" i="3" s="1"/>
  <c r="K196" i="3"/>
  <c r="J196" i="3"/>
  <c r="I196" i="3"/>
  <c r="G196" i="3"/>
  <c r="F196" i="3"/>
  <c r="D196" i="3"/>
  <c r="C196" i="3"/>
  <c r="S195" i="3"/>
  <c r="P195" i="3"/>
  <c r="Q195" i="3" s="1"/>
  <c r="R195" i="3" s="1"/>
  <c r="T195" i="3" s="1"/>
  <c r="O195" i="3"/>
  <c r="K195" i="3"/>
  <c r="J195" i="3"/>
  <c r="I195" i="3"/>
  <c r="G195" i="3"/>
  <c r="F195" i="3"/>
  <c r="D195" i="3"/>
  <c r="C195" i="3"/>
  <c r="S194" i="3"/>
  <c r="Q194" i="3"/>
  <c r="R194" i="3" s="1"/>
  <c r="T194" i="3" s="1"/>
  <c r="P194" i="3"/>
  <c r="O194" i="3"/>
  <c r="K194" i="3"/>
  <c r="J194" i="3"/>
  <c r="I194" i="3"/>
  <c r="G194" i="3"/>
  <c r="F194" i="3"/>
  <c r="D194" i="3"/>
  <c r="C194" i="3"/>
  <c r="S193" i="3"/>
  <c r="R193" i="3"/>
  <c r="T193" i="3" s="1"/>
  <c r="Q193" i="3"/>
  <c r="P193" i="3"/>
  <c r="O193" i="3"/>
  <c r="K193" i="3"/>
  <c r="J193" i="3"/>
  <c r="I193" i="3"/>
  <c r="G193" i="3"/>
  <c r="F193" i="3"/>
  <c r="D193" i="3"/>
  <c r="C193" i="3"/>
  <c r="S192" i="3"/>
  <c r="R192" i="3"/>
  <c r="T192" i="3" s="1"/>
  <c r="P192" i="3"/>
  <c r="O192" i="3"/>
  <c r="Q192" i="3" s="1"/>
  <c r="K192" i="3"/>
  <c r="J192" i="3"/>
  <c r="I192" i="3"/>
  <c r="G192" i="3"/>
  <c r="F192" i="3"/>
  <c r="D192" i="3"/>
  <c r="C192" i="3"/>
  <c r="S191" i="3"/>
  <c r="P191" i="3"/>
  <c r="O191" i="3"/>
  <c r="K191" i="3"/>
  <c r="J191" i="3"/>
  <c r="I191" i="3"/>
  <c r="G191" i="3"/>
  <c r="F191" i="3"/>
  <c r="D191" i="3"/>
  <c r="C191" i="3"/>
  <c r="S190" i="3"/>
  <c r="Q190" i="3"/>
  <c r="R190" i="3" s="1"/>
  <c r="T190" i="3" s="1"/>
  <c r="P190" i="3"/>
  <c r="O190" i="3"/>
  <c r="K190" i="3"/>
  <c r="J190" i="3"/>
  <c r="I190" i="3"/>
  <c r="G190" i="3"/>
  <c r="F190" i="3"/>
  <c r="D190" i="3"/>
  <c r="C190" i="3"/>
  <c r="S189" i="3"/>
  <c r="P189" i="3"/>
  <c r="Q189" i="3" s="1"/>
  <c r="R189" i="3" s="1"/>
  <c r="T189" i="3" s="1"/>
  <c r="O189" i="3"/>
  <c r="K189" i="3"/>
  <c r="J189" i="3"/>
  <c r="I189" i="3"/>
  <c r="G189" i="3"/>
  <c r="F189" i="3"/>
  <c r="D189" i="3"/>
  <c r="C189" i="3"/>
  <c r="S188" i="3"/>
  <c r="P188" i="3"/>
  <c r="O188" i="3"/>
  <c r="Q188" i="3" s="1"/>
  <c r="R188" i="3" s="1"/>
  <c r="T188" i="3" s="1"/>
  <c r="K188" i="3"/>
  <c r="J188" i="3"/>
  <c r="I188" i="3"/>
  <c r="G188" i="3"/>
  <c r="F188" i="3"/>
  <c r="D188" i="3"/>
  <c r="C188" i="3"/>
  <c r="T187" i="3"/>
  <c r="S187" i="3"/>
  <c r="P187" i="3"/>
  <c r="Q187" i="3" s="1"/>
  <c r="R187" i="3" s="1"/>
  <c r="O187" i="3"/>
  <c r="K187" i="3"/>
  <c r="J187" i="3"/>
  <c r="I187" i="3"/>
  <c r="G187" i="3"/>
  <c r="F187" i="3"/>
  <c r="D187" i="3"/>
  <c r="C187" i="3"/>
  <c r="S186" i="3"/>
  <c r="P186" i="3"/>
  <c r="Q186" i="3" s="1"/>
  <c r="R186" i="3" s="1"/>
  <c r="T186" i="3" s="1"/>
  <c r="O186" i="3"/>
  <c r="K186" i="3"/>
  <c r="J186" i="3"/>
  <c r="I186" i="3"/>
  <c r="G186" i="3"/>
  <c r="F186" i="3"/>
  <c r="D186" i="3"/>
  <c r="C186" i="3"/>
  <c r="T185" i="3"/>
  <c r="S185" i="3"/>
  <c r="R185" i="3"/>
  <c r="Q185" i="3"/>
  <c r="P185" i="3"/>
  <c r="O185" i="3"/>
  <c r="K185" i="3"/>
  <c r="J185" i="3"/>
  <c r="I185" i="3"/>
  <c r="G185" i="3"/>
  <c r="F185" i="3"/>
  <c r="D185" i="3"/>
  <c r="C185" i="3"/>
  <c r="S184" i="3"/>
  <c r="P184" i="3"/>
  <c r="O184" i="3"/>
  <c r="Q184" i="3" s="1"/>
  <c r="R184" i="3" s="1"/>
  <c r="T184" i="3" s="1"/>
  <c r="K184" i="3"/>
  <c r="J184" i="3"/>
  <c r="I184" i="3"/>
  <c r="G184" i="3"/>
  <c r="F184" i="3"/>
  <c r="D184" i="3"/>
  <c r="C184" i="3"/>
  <c r="S183" i="3"/>
  <c r="P183" i="3"/>
  <c r="O183" i="3"/>
  <c r="K183" i="3"/>
  <c r="J183" i="3"/>
  <c r="I183" i="3"/>
  <c r="G183" i="3"/>
  <c r="F183" i="3"/>
  <c r="D183" i="3"/>
  <c r="C183" i="3"/>
  <c r="S182" i="3"/>
  <c r="Q182" i="3"/>
  <c r="R182" i="3" s="1"/>
  <c r="T182" i="3" s="1"/>
  <c r="P182" i="3"/>
  <c r="O182" i="3"/>
  <c r="K182" i="3"/>
  <c r="J182" i="3"/>
  <c r="I182" i="3"/>
  <c r="G182" i="3"/>
  <c r="F182" i="3"/>
  <c r="D182" i="3"/>
  <c r="C182" i="3"/>
  <c r="S181" i="3"/>
  <c r="R181" i="3"/>
  <c r="T181" i="3" s="1"/>
  <c r="Q181" i="3"/>
  <c r="P181" i="3"/>
  <c r="O181" i="3"/>
  <c r="K181" i="3"/>
  <c r="J181" i="3"/>
  <c r="I181" i="3"/>
  <c r="G181" i="3"/>
  <c r="F181" i="3"/>
  <c r="D181" i="3"/>
  <c r="C181" i="3"/>
  <c r="S180" i="3"/>
  <c r="P180" i="3"/>
  <c r="O180" i="3"/>
  <c r="Q180" i="3" s="1"/>
  <c r="R180" i="3" s="1"/>
  <c r="T180" i="3" s="1"/>
  <c r="K180" i="3"/>
  <c r="J180" i="3"/>
  <c r="I180" i="3"/>
  <c r="G180" i="3"/>
  <c r="F180" i="3"/>
  <c r="D180" i="3"/>
  <c r="C180" i="3"/>
  <c r="S179" i="3"/>
  <c r="P179" i="3"/>
  <c r="Q179" i="3" s="1"/>
  <c r="R179" i="3" s="1"/>
  <c r="T179" i="3" s="1"/>
  <c r="O179" i="3"/>
  <c r="K179" i="3"/>
  <c r="J179" i="3"/>
  <c r="I179" i="3"/>
  <c r="G179" i="3"/>
  <c r="F179" i="3"/>
  <c r="D179" i="3"/>
  <c r="C179" i="3"/>
  <c r="S178" i="3"/>
  <c r="P178" i="3"/>
  <c r="Q178" i="3" s="1"/>
  <c r="R178" i="3" s="1"/>
  <c r="T178" i="3" s="1"/>
  <c r="O178" i="3"/>
  <c r="K178" i="3"/>
  <c r="J178" i="3"/>
  <c r="I178" i="3"/>
  <c r="G178" i="3"/>
  <c r="F178" i="3"/>
  <c r="D178" i="3"/>
  <c r="C178" i="3"/>
  <c r="S177" i="3"/>
  <c r="R177" i="3"/>
  <c r="T177" i="3" s="1"/>
  <c r="Q177" i="3"/>
  <c r="P177" i="3"/>
  <c r="O177" i="3"/>
  <c r="K177" i="3"/>
  <c r="J177" i="3"/>
  <c r="I177" i="3"/>
  <c r="G177" i="3"/>
  <c r="F177" i="3"/>
  <c r="D177" i="3"/>
  <c r="C177" i="3"/>
  <c r="S176" i="3"/>
  <c r="P176" i="3"/>
  <c r="O176" i="3"/>
  <c r="Q176" i="3" s="1"/>
  <c r="R176" i="3" s="1"/>
  <c r="T176" i="3" s="1"/>
  <c r="K176" i="3"/>
  <c r="J176" i="3"/>
  <c r="I176" i="3"/>
  <c r="G176" i="3"/>
  <c r="F176" i="3"/>
  <c r="D176" i="3"/>
  <c r="C176" i="3"/>
  <c r="S175" i="3"/>
  <c r="P175" i="3"/>
  <c r="O175" i="3"/>
  <c r="K175" i="3"/>
  <c r="J175" i="3"/>
  <c r="I175" i="3"/>
  <c r="G175" i="3"/>
  <c r="F175" i="3"/>
  <c r="D175" i="3"/>
  <c r="C175" i="3"/>
  <c r="T174" i="3"/>
  <c r="S174" i="3"/>
  <c r="Q174" i="3"/>
  <c r="R174" i="3" s="1"/>
  <c r="P174" i="3"/>
  <c r="O174" i="3"/>
  <c r="K174" i="3"/>
  <c r="J174" i="3"/>
  <c r="I174" i="3"/>
  <c r="G174" i="3"/>
  <c r="F174" i="3"/>
  <c r="D174" i="3"/>
  <c r="C174" i="3"/>
  <c r="S173" i="3"/>
  <c r="Q173" i="3"/>
  <c r="R173" i="3" s="1"/>
  <c r="T173" i="3" s="1"/>
  <c r="P173" i="3"/>
  <c r="O173" i="3"/>
  <c r="K173" i="3"/>
  <c r="J173" i="3"/>
  <c r="I173" i="3"/>
  <c r="G173" i="3"/>
  <c r="F173" i="3"/>
  <c r="D173" i="3"/>
  <c r="C173" i="3"/>
  <c r="S172" i="3"/>
  <c r="P172" i="3"/>
  <c r="O172" i="3"/>
  <c r="Q172" i="3" s="1"/>
  <c r="R172" i="3" s="1"/>
  <c r="T172" i="3" s="1"/>
  <c r="K172" i="3"/>
  <c r="J172" i="3"/>
  <c r="I172" i="3"/>
  <c r="G172" i="3"/>
  <c r="F172" i="3"/>
  <c r="D172" i="3"/>
  <c r="C172" i="3"/>
  <c r="S171" i="3"/>
  <c r="P171" i="3"/>
  <c r="Q171" i="3" s="1"/>
  <c r="R171" i="3" s="1"/>
  <c r="T171" i="3" s="1"/>
  <c r="O171" i="3"/>
  <c r="K171" i="3"/>
  <c r="J171" i="3"/>
  <c r="I171" i="3"/>
  <c r="G171" i="3"/>
  <c r="F171" i="3"/>
  <c r="D171" i="3"/>
  <c r="C171" i="3"/>
  <c r="S170" i="3"/>
  <c r="P170" i="3"/>
  <c r="Q170" i="3" s="1"/>
  <c r="R170" i="3" s="1"/>
  <c r="T170" i="3" s="1"/>
  <c r="O170" i="3"/>
  <c r="K170" i="3"/>
  <c r="J170" i="3"/>
  <c r="I170" i="3"/>
  <c r="G170" i="3"/>
  <c r="F170" i="3"/>
  <c r="D170" i="3"/>
  <c r="C170" i="3"/>
  <c r="S169" i="3"/>
  <c r="R169" i="3"/>
  <c r="T169" i="3" s="1"/>
  <c r="Q169" i="3"/>
  <c r="P169" i="3"/>
  <c r="O169" i="3"/>
  <c r="K169" i="3"/>
  <c r="J169" i="3"/>
  <c r="I169" i="3"/>
  <c r="G169" i="3"/>
  <c r="F169" i="3"/>
  <c r="D169" i="3"/>
  <c r="C169" i="3"/>
  <c r="S168" i="3"/>
  <c r="Q168" i="3"/>
  <c r="R168" i="3" s="1"/>
  <c r="T168" i="3" s="1"/>
  <c r="P168" i="3"/>
  <c r="O168" i="3"/>
  <c r="K168" i="3"/>
  <c r="J168" i="3"/>
  <c r="I168" i="3"/>
  <c r="G168" i="3"/>
  <c r="F168" i="3"/>
  <c r="D168" i="3"/>
  <c r="C168" i="3"/>
  <c r="S167" i="3"/>
  <c r="P167" i="3"/>
  <c r="O167" i="3"/>
  <c r="K167" i="3"/>
  <c r="J167" i="3"/>
  <c r="I167" i="3"/>
  <c r="G167" i="3"/>
  <c r="F167" i="3"/>
  <c r="D167" i="3"/>
  <c r="C167" i="3"/>
  <c r="S166" i="3"/>
  <c r="Q166" i="3"/>
  <c r="R166" i="3" s="1"/>
  <c r="T166" i="3" s="1"/>
  <c r="P166" i="3"/>
  <c r="O166" i="3"/>
  <c r="K166" i="3"/>
  <c r="J166" i="3"/>
  <c r="I166" i="3"/>
  <c r="G166" i="3"/>
  <c r="F166" i="3"/>
  <c r="D166" i="3"/>
  <c r="C166" i="3"/>
  <c r="S165" i="3"/>
  <c r="Q165" i="3"/>
  <c r="R165" i="3" s="1"/>
  <c r="T165" i="3" s="1"/>
  <c r="P165" i="3"/>
  <c r="O165" i="3"/>
  <c r="K165" i="3"/>
  <c r="J165" i="3"/>
  <c r="I165" i="3"/>
  <c r="G165" i="3"/>
  <c r="F165" i="3"/>
  <c r="D165" i="3"/>
  <c r="C165" i="3"/>
  <c r="S164" i="3"/>
  <c r="P164" i="3"/>
  <c r="O164" i="3"/>
  <c r="Q164" i="3" s="1"/>
  <c r="R164" i="3" s="1"/>
  <c r="T164" i="3" s="1"/>
  <c r="K164" i="3"/>
  <c r="J164" i="3"/>
  <c r="I164" i="3"/>
  <c r="G164" i="3"/>
  <c r="F164" i="3"/>
  <c r="D164" i="3"/>
  <c r="C164" i="3"/>
  <c r="T163" i="3"/>
  <c r="S163" i="3"/>
  <c r="R163" i="3"/>
  <c r="P163" i="3"/>
  <c r="Q163" i="3" s="1"/>
  <c r="O163" i="3"/>
  <c r="K163" i="3"/>
  <c r="J163" i="3"/>
  <c r="I163" i="3"/>
  <c r="G163" i="3"/>
  <c r="F163" i="3"/>
  <c r="D163" i="3"/>
  <c r="C163" i="3"/>
  <c r="S162" i="3"/>
  <c r="P162" i="3"/>
  <c r="Q162" i="3" s="1"/>
  <c r="R162" i="3" s="1"/>
  <c r="T162" i="3" s="1"/>
  <c r="O162" i="3"/>
  <c r="K162" i="3"/>
  <c r="J162" i="3"/>
  <c r="I162" i="3"/>
  <c r="G162" i="3"/>
  <c r="F162" i="3"/>
  <c r="D162" i="3"/>
  <c r="C162" i="3"/>
  <c r="S161" i="3"/>
  <c r="R161" i="3"/>
  <c r="T161" i="3" s="1"/>
  <c r="Q161" i="3"/>
  <c r="P161" i="3"/>
  <c r="O161" i="3"/>
  <c r="K161" i="3"/>
  <c r="J161" i="3"/>
  <c r="I161" i="3"/>
  <c r="G161" i="3"/>
  <c r="F161" i="3"/>
  <c r="D161" i="3"/>
  <c r="C161" i="3"/>
  <c r="S160" i="3"/>
  <c r="P160" i="3"/>
  <c r="O160" i="3"/>
  <c r="Q160" i="3" s="1"/>
  <c r="R160" i="3" s="1"/>
  <c r="T160" i="3" s="1"/>
  <c r="K160" i="3"/>
  <c r="J160" i="3"/>
  <c r="I160" i="3"/>
  <c r="G160" i="3"/>
  <c r="F160" i="3"/>
  <c r="D160" i="3"/>
  <c r="C160" i="3"/>
  <c r="T159" i="3"/>
  <c r="S159" i="3"/>
  <c r="P159" i="3"/>
  <c r="Q159" i="3" s="1"/>
  <c r="R159" i="3" s="1"/>
  <c r="O159" i="3"/>
  <c r="K159" i="3"/>
  <c r="J159" i="3"/>
  <c r="I159" i="3"/>
  <c r="G159" i="3"/>
  <c r="F159" i="3"/>
  <c r="D159" i="3"/>
  <c r="C159" i="3"/>
  <c r="S158" i="3"/>
  <c r="Q158" i="3"/>
  <c r="R158" i="3" s="1"/>
  <c r="T158" i="3" s="1"/>
  <c r="P158" i="3"/>
  <c r="O158" i="3"/>
  <c r="K158" i="3"/>
  <c r="J158" i="3"/>
  <c r="I158" i="3"/>
  <c r="G158" i="3"/>
  <c r="F158" i="3"/>
  <c r="D158" i="3"/>
  <c r="C158" i="3"/>
  <c r="S157" i="3"/>
  <c r="Q157" i="3"/>
  <c r="R157" i="3" s="1"/>
  <c r="T157" i="3" s="1"/>
  <c r="P157" i="3"/>
  <c r="O157" i="3"/>
  <c r="K157" i="3"/>
  <c r="J157" i="3"/>
  <c r="I157" i="3"/>
  <c r="G157" i="3"/>
  <c r="F157" i="3"/>
  <c r="D157" i="3"/>
  <c r="C157" i="3"/>
  <c r="S156" i="3"/>
  <c r="P156" i="3"/>
  <c r="O156" i="3"/>
  <c r="Q156" i="3" s="1"/>
  <c r="R156" i="3" s="1"/>
  <c r="T156" i="3" s="1"/>
  <c r="K156" i="3"/>
  <c r="J156" i="3"/>
  <c r="I156" i="3"/>
  <c r="G156" i="3"/>
  <c r="F156" i="3"/>
  <c r="D156" i="3"/>
  <c r="C156" i="3"/>
  <c r="S155" i="3"/>
  <c r="R155" i="3"/>
  <c r="T155" i="3" s="1"/>
  <c r="P155" i="3"/>
  <c r="Q155" i="3" s="1"/>
  <c r="O155" i="3"/>
  <c r="K155" i="3"/>
  <c r="J155" i="3"/>
  <c r="I155" i="3"/>
  <c r="G155" i="3"/>
  <c r="F155" i="3"/>
  <c r="D155" i="3"/>
  <c r="C155" i="3"/>
  <c r="S154" i="3"/>
  <c r="P154" i="3"/>
  <c r="O154" i="3"/>
  <c r="Q154" i="3" s="1"/>
  <c r="R154" i="3" s="1"/>
  <c r="T154" i="3" s="1"/>
  <c r="K154" i="3"/>
  <c r="J154" i="3"/>
  <c r="I154" i="3"/>
  <c r="G154" i="3"/>
  <c r="F154" i="3"/>
  <c r="D154" i="3"/>
  <c r="C154" i="3"/>
  <c r="S153" i="3"/>
  <c r="R153" i="3"/>
  <c r="T153" i="3" s="1"/>
  <c r="Q153" i="3"/>
  <c r="P153" i="3"/>
  <c r="O153" i="3"/>
  <c r="K153" i="3"/>
  <c r="J153" i="3"/>
  <c r="I153" i="3"/>
  <c r="G153" i="3"/>
  <c r="F153" i="3"/>
  <c r="D153" i="3"/>
  <c r="C153" i="3"/>
  <c r="S152" i="3"/>
  <c r="P152" i="3"/>
  <c r="O152" i="3"/>
  <c r="Q152" i="3" s="1"/>
  <c r="R152" i="3" s="1"/>
  <c r="T152" i="3" s="1"/>
  <c r="K152" i="3"/>
  <c r="J152" i="3"/>
  <c r="I152" i="3"/>
  <c r="G152" i="3"/>
  <c r="F152" i="3"/>
  <c r="D152" i="3"/>
  <c r="C152" i="3"/>
  <c r="S151" i="3"/>
  <c r="P151" i="3"/>
  <c r="Q151" i="3" s="1"/>
  <c r="R151" i="3" s="1"/>
  <c r="T151" i="3" s="1"/>
  <c r="O151" i="3"/>
  <c r="K151" i="3"/>
  <c r="J151" i="3"/>
  <c r="I151" i="3"/>
  <c r="G151" i="3"/>
  <c r="F151" i="3"/>
  <c r="D151" i="3"/>
  <c r="C151" i="3"/>
  <c r="T150" i="3"/>
  <c r="S150" i="3"/>
  <c r="Q150" i="3"/>
  <c r="R150" i="3" s="1"/>
  <c r="P150" i="3"/>
  <c r="O150" i="3"/>
  <c r="K150" i="3"/>
  <c r="J150" i="3"/>
  <c r="I150" i="3"/>
  <c r="G150" i="3"/>
  <c r="F150" i="3"/>
  <c r="D150" i="3"/>
  <c r="C150" i="3"/>
  <c r="S149" i="3"/>
  <c r="P149" i="3"/>
  <c r="Q149" i="3" s="1"/>
  <c r="R149" i="3" s="1"/>
  <c r="T149" i="3" s="1"/>
  <c r="O149" i="3"/>
  <c r="K149" i="3"/>
  <c r="J149" i="3"/>
  <c r="I149" i="3"/>
  <c r="G149" i="3"/>
  <c r="F149" i="3"/>
  <c r="D149" i="3"/>
  <c r="C149" i="3"/>
  <c r="S148" i="3"/>
  <c r="R148" i="3"/>
  <c r="T148" i="3" s="1"/>
  <c r="P148" i="3"/>
  <c r="O148" i="3"/>
  <c r="Q148" i="3" s="1"/>
  <c r="K148" i="3"/>
  <c r="J148" i="3"/>
  <c r="I148" i="3"/>
  <c r="G148" i="3"/>
  <c r="F148" i="3"/>
  <c r="D148" i="3"/>
  <c r="C148" i="3"/>
  <c r="S147" i="3"/>
  <c r="P147" i="3"/>
  <c r="O147" i="3"/>
  <c r="K147" i="3"/>
  <c r="J147" i="3"/>
  <c r="I147" i="3"/>
  <c r="G147" i="3"/>
  <c r="F147" i="3"/>
  <c r="D147" i="3"/>
  <c r="C147" i="3"/>
  <c r="S146" i="3"/>
  <c r="Q146" i="3"/>
  <c r="R146" i="3" s="1"/>
  <c r="T146" i="3" s="1"/>
  <c r="P146" i="3"/>
  <c r="O146" i="3"/>
  <c r="K146" i="3"/>
  <c r="J146" i="3"/>
  <c r="I146" i="3"/>
  <c r="G146" i="3"/>
  <c r="F146" i="3"/>
  <c r="D146" i="3"/>
  <c r="C146" i="3"/>
  <c r="S145" i="3"/>
  <c r="Q145" i="3"/>
  <c r="R145" i="3" s="1"/>
  <c r="T145" i="3" s="1"/>
  <c r="P145" i="3"/>
  <c r="O145" i="3"/>
  <c r="K145" i="3"/>
  <c r="J145" i="3"/>
  <c r="I145" i="3"/>
  <c r="G145" i="3"/>
  <c r="F145" i="3"/>
  <c r="D145" i="3"/>
  <c r="C145" i="3"/>
  <c r="S144" i="3"/>
  <c r="R144" i="3"/>
  <c r="T144" i="3" s="1"/>
  <c r="P144" i="3"/>
  <c r="O144" i="3"/>
  <c r="Q144" i="3" s="1"/>
  <c r="K144" i="3"/>
  <c r="J144" i="3"/>
  <c r="I144" i="3"/>
  <c r="G144" i="3"/>
  <c r="F144" i="3"/>
  <c r="D144" i="3"/>
  <c r="C144" i="3"/>
  <c r="S143" i="3"/>
  <c r="P143" i="3"/>
  <c r="O143" i="3"/>
  <c r="K143" i="3"/>
  <c r="J143" i="3"/>
  <c r="I143" i="3"/>
  <c r="G143" i="3"/>
  <c r="F143" i="3"/>
  <c r="D143" i="3"/>
  <c r="C143" i="3"/>
  <c r="S142" i="3"/>
  <c r="Q142" i="3"/>
  <c r="R142" i="3" s="1"/>
  <c r="T142" i="3" s="1"/>
  <c r="P142" i="3"/>
  <c r="O142" i="3"/>
  <c r="K142" i="3"/>
  <c r="J142" i="3"/>
  <c r="I142" i="3"/>
  <c r="G142" i="3"/>
  <c r="F142" i="3"/>
  <c r="D142" i="3"/>
  <c r="C142" i="3"/>
  <c r="S141" i="3"/>
  <c r="P141" i="3"/>
  <c r="Q141" i="3" s="1"/>
  <c r="R141" i="3" s="1"/>
  <c r="T141" i="3" s="1"/>
  <c r="O141" i="3"/>
  <c r="K141" i="3"/>
  <c r="J141" i="3"/>
  <c r="I141" i="3"/>
  <c r="G141" i="3"/>
  <c r="F141" i="3"/>
  <c r="D141" i="3"/>
  <c r="C141" i="3"/>
  <c r="S140" i="3"/>
  <c r="R140" i="3"/>
  <c r="T140" i="3" s="1"/>
  <c r="P140" i="3"/>
  <c r="O140" i="3"/>
  <c r="Q140" i="3" s="1"/>
  <c r="K140" i="3"/>
  <c r="J140" i="3"/>
  <c r="I140" i="3"/>
  <c r="G140" i="3"/>
  <c r="F140" i="3"/>
  <c r="D140" i="3"/>
  <c r="C140" i="3"/>
  <c r="S139" i="3"/>
  <c r="P139" i="3"/>
  <c r="O139" i="3"/>
  <c r="K139" i="3"/>
  <c r="J139" i="3"/>
  <c r="I139" i="3"/>
  <c r="G139" i="3"/>
  <c r="F139" i="3"/>
  <c r="D139" i="3"/>
  <c r="C139" i="3"/>
  <c r="S138" i="3"/>
  <c r="P138" i="3"/>
  <c r="Q138" i="3" s="1"/>
  <c r="R138" i="3" s="1"/>
  <c r="T138" i="3" s="1"/>
  <c r="O138" i="3"/>
  <c r="K138" i="3"/>
  <c r="J138" i="3"/>
  <c r="I138" i="3"/>
  <c r="G138" i="3"/>
  <c r="F138" i="3"/>
  <c r="D138" i="3"/>
  <c r="C138" i="3"/>
  <c r="S137" i="3"/>
  <c r="R137" i="3"/>
  <c r="T137" i="3" s="1"/>
  <c r="Q137" i="3"/>
  <c r="P137" i="3"/>
  <c r="O137" i="3"/>
  <c r="K137" i="3"/>
  <c r="J137" i="3"/>
  <c r="I137" i="3"/>
  <c r="G137" i="3"/>
  <c r="F137" i="3"/>
  <c r="D137" i="3"/>
  <c r="C137" i="3"/>
  <c r="S136" i="3"/>
  <c r="Q136" i="3"/>
  <c r="R136" i="3" s="1"/>
  <c r="T136" i="3" s="1"/>
  <c r="P136" i="3"/>
  <c r="O136" i="3"/>
  <c r="K136" i="3"/>
  <c r="J136" i="3"/>
  <c r="I136" i="3"/>
  <c r="G136" i="3"/>
  <c r="F136" i="3"/>
  <c r="D136" i="3"/>
  <c r="C136" i="3"/>
  <c r="S135" i="3"/>
  <c r="P135" i="3"/>
  <c r="O135" i="3"/>
  <c r="K135" i="3"/>
  <c r="J135" i="3"/>
  <c r="I135" i="3"/>
  <c r="G135" i="3"/>
  <c r="F135" i="3"/>
  <c r="D135" i="3"/>
  <c r="C135" i="3"/>
  <c r="S134" i="3"/>
  <c r="P134" i="3"/>
  <c r="Q134" i="3" s="1"/>
  <c r="R134" i="3" s="1"/>
  <c r="T134" i="3" s="1"/>
  <c r="O134" i="3"/>
  <c r="K134" i="3"/>
  <c r="J134" i="3"/>
  <c r="I134" i="3"/>
  <c r="G134" i="3"/>
  <c r="F134" i="3"/>
  <c r="D134" i="3"/>
  <c r="C134" i="3"/>
  <c r="S133" i="3"/>
  <c r="Q133" i="3"/>
  <c r="R133" i="3" s="1"/>
  <c r="T133" i="3" s="1"/>
  <c r="P133" i="3"/>
  <c r="O133" i="3"/>
  <c r="K133" i="3"/>
  <c r="J133" i="3"/>
  <c r="I133" i="3"/>
  <c r="G133" i="3"/>
  <c r="F133" i="3"/>
  <c r="D133" i="3"/>
  <c r="C133" i="3"/>
  <c r="S132" i="3"/>
  <c r="P132" i="3"/>
  <c r="O132" i="3"/>
  <c r="Q132" i="3" s="1"/>
  <c r="R132" i="3" s="1"/>
  <c r="T132" i="3" s="1"/>
  <c r="K132" i="3"/>
  <c r="J132" i="3"/>
  <c r="I132" i="3"/>
  <c r="G132" i="3"/>
  <c r="F132" i="3"/>
  <c r="D132" i="3"/>
  <c r="C132" i="3"/>
  <c r="T131" i="3"/>
  <c r="S131" i="3"/>
  <c r="P131" i="3"/>
  <c r="Q131" i="3" s="1"/>
  <c r="R131" i="3" s="1"/>
  <c r="O131" i="3"/>
  <c r="K131" i="3"/>
  <c r="J131" i="3"/>
  <c r="I131" i="3"/>
  <c r="G131" i="3"/>
  <c r="F131" i="3"/>
  <c r="D131" i="3"/>
  <c r="C131" i="3"/>
  <c r="S130" i="3"/>
  <c r="P130" i="3"/>
  <c r="O130" i="3"/>
  <c r="Q130" i="3" s="1"/>
  <c r="R130" i="3" s="1"/>
  <c r="T130" i="3" s="1"/>
  <c r="K130" i="3"/>
  <c r="J130" i="3"/>
  <c r="I130" i="3"/>
  <c r="G130" i="3"/>
  <c r="F130" i="3"/>
  <c r="D130" i="3"/>
  <c r="C130" i="3"/>
  <c r="T129" i="3"/>
  <c r="S129" i="3"/>
  <c r="Q129" i="3"/>
  <c r="R129" i="3" s="1"/>
  <c r="P129" i="3"/>
  <c r="O129" i="3"/>
  <c r="K129" i="3"/>
  <c r="J129" i="3"/>
  <c r="I129" i="3"/>
  <c r="G129" i="3"/>
  <c r="F129" i="3"/>
  <c r="D129" i="3"/>
  <c r="C129" i="3"/>
  <c r="S128" i="3"/>
  <c r="R128" i="3"/>
  <c r="T128" i="3" s="1"/>
  <c r="Q128" i="3"/>
  <c r="P128" i="3"/>
  <c r="O128" i="3"/>
  <c r="K128" i="3"/>
  <c r="J128" i="3"/>
  <c r="I128" i="3"/>
  <c r="G128" i="3"/>
  <c r="F128" i="3"/>
  <c r="D128" i="3"/>
  <c r="C128" i="3"/>
  <c r="S127" i="3"/>
  <c r="P127" i="3"/>
  <c r="Q127" i="3" s="1"/>
  <c r="R127" i="3" s="1"/>
  <c r="T127" i="3" s="1"/>
  <c r="O127" i="3"/>
  <c r="K127" i="3"/>
  <c r="J127" i="3"/>
  <c r="I127" i="3"/>
  <c r="G127" i="3"/>
  <c r="F127" i="3"/>
  <c r="D127" i="3"/>
  <c r="C127" i="3"/>
  <c r="S126" i="3"/>
  <c r="Q126" i="3"/>
  <c r="R126" i="3" s="1"/>
  <c r="T126" i="3" s="1"/>
  <c r="P126" i="3"/>
  <c r="O126" i="3"/>
  <c r="K126" i="3"/>
  <c r="J126" i="3"/>
  <c r="I126" i="3"/>
  <c r="G126" i="3"/>
  <c r="F126" i="3"/>
  <c r="D126" i="3"/>
  <c r="C126" i="3"/>
  <c r="S125" i="3"/>
  <c r="P125" i="3"/>
  <c r="Q125" i="3" s="1"/>
  <c r="R125" i="3" s="1"/>
  <c r="T125" i="3" s="1"/>
  <c r="O125" i="3"/>
  <c r="K125" i="3"/>
  <c r="J125" i="3"/>
  <c r="I125" i="3"/>
  <c r="G125" i="3"/>
  <c r="F125" i="3"/>
  <c r="D125" i="3"/>
  <c r="C125" i="3"/>
  <c r="S124" i="3"/>
  <c r="P124" i="3"/>
  <c r="O124" i="3"/>
  <c r="Q124" i="3" s="1"/>
  <c r="R124" i="3" s="1"/>
  <c r="T124" i="3" s="1"/>
  <c r="K124" i="3"/>
  <c r="J124" i="3"/>
  <c r="I124" i="3"/>
  <c r="G124" i="3"/>
  <c r="F124" i="3"/>
  <c r="D124" i="3"/>
  <c r="C124" i="3"/>
  <c r="S123" i="3"/>
  <c r="P123" i="3"/>
  <c r="O123" i="3"/>
  <c r="K123" i="3"/>
  <c r="J123" i="3"/>
  <c r="I123" i="3"/>
  <c r="G123" i="3"/>
  <c r="F123" i="3"/>
  <c r="D123" i="3"/>
  <c r="C123" i="3"/>
  <c r="S122" i="3"/>
  <c r="P122" i="3"/>
  <c r="Q122" i="3" s="1"/>
  <c r="R122" i="3" s="1"/>
  <c r="T122" i="3" s="1"/>
  <c r="O122" i="3"/>
  <c r="K122" i="3"/>
  <c r="J122" i="3"/>
  <c r="I122" i="3"/>
  <c r="G122" i="3"/>
  <c r="F122" i="3"/>
  <c r="D122" i="3"/>
  <c r="C122" i="3"/>
  <c r="S121" i="3"/>
  <c r="Q121" i="3"/>
  <c r="R121" i="3" s="1"/>
  <c r="T121" i="3" s="1"/>
  <c r="P121" i="3"/>
  <c r="O121" i="3"/>
  <c r="K121" i="3"/>
  <c r="J121" i="3"/>
  <c r="I121" i="3"/>
  <c r="G121" i="3"/>
  <c r="F121" i="3"/>
  <c r="D121" i="3"/>
  <c r="C121" i="3"/>
  <c r="S120" i="3"/>
  <c r="P120" i="3"/>
  <c r="O120" i="3"/>
  <c r="Q120" i="3" s="1"/>
  <c r="R120" i="3" s="1"/>
  <c r="T120" i="3" s="1"/>
  <c r="K120" i="3"/>
  <c r="J120" i="3"/>
  <c r="I120" i="3"/>
  <c r="G120" i="3"/>
  <c r="F120" i="3"/>
  <c r="D120" i="3"/>
  <c r="C120" i="3"/>
  <c r="S119" i="3"/>
  <c r="P119" i="3"/>
  <c r="O119" i="3"/>
  <c r="K119" i="3"/>
  <c r="J119" i="3"/>
  <c r="I119" i="3"/>
  <c r="G119" i="3"/>
  <c r="F119" i="3"/>
  <c r="D119" i="3"/>
  <c r="C119" i="3"/>
  <c r="S118" i="3"/>
  <c r="P118" i="3"/>
  <c r="Q118" i="3" s="1"/>
  <c r="R118" i="3" s="1"/>
  <c r="T118" i="3" s="1"/>
  <c r="O118" i="3"/>
  <c r="K118" i="3"/>
  <c r="J118" i="3"/>
  <c r="I118" i="3"/>
  <c r="G118" i="3"/>
  <c r="F118" i="3"/>
  <c r="D118" i="3"/>
  <c r="C118" i="3"/>
  <c r="S117" i="3"/>
  <c r="R117" i="3"/>
  <c r="T117" i="3" s="1"/>
  <c r="P117" i="3"/>
  <c r="Q117" i="3" s="1"/>
  <c r="O117" i="3"/>
  <c r="K117" i="3"/>
  <c r="J117" i="3"/>
  <c r="I117" i="3"/>
  <c r="G117" i="3"/>
  <c r="F117" i="3"/>
  <c r="D117" i="3"/>
  <c r="C117" i="3"/>
  <c r="S116" i="3"/>
  <c r="P116" i="3"/>
  <c r="O116" i="3"/>
  <c r="Q116" i="3" s="1"/>
  <c r="R116" i="3" s="1"/>
  <c r="T116" i="3" s="1"/>
  <c r="K116" i="3"/>
  <c r="J116" i="3"/>
  <c r="I116" i="3"/>
  <c r="G116" i="3"/>
  <c r="F116" i="3"/>
  <c r="D116" i="3"/>
  <c r="C116" i="3"/>
  <c r="S115" i="3"/>
  <c r="P115" i="3"/>
  <c r="O115" i="3"/>
  <c r="K115" i="3"/>
  <c r="J115" i="3"/>
  <c r="I115" i="3"/>
  <c r="G115" i="3"/>
  <c r="F115" i="3"/>
  <c r="D115" i="3"/>
  <c r="C115" i="3"/>
  <c r="S114" i="3"/>
  <c r="P114" i="3"/>
  <c r="Q114" i="3" s="1"/>
  <c r="R114" i="3" s="1"/>
  <c r="T114" i="3" s="1"/>
  <c r="O114" i="3"/>
  <c r="K114" i="3"/>
  <c r="J114" i="3"/>
  <c r="I114" i="3"/>
  <c r="G114" i="3"/>
  <c r="F114" i="3"/>
  <c r="D114" i="3"/>
  <c r="C114" i="3"/>
  <c r="S113" i="3"/>
  <c r="R113" i="3"/>
  <c r="T113" i="3" s="1"/>
  <c r="Q113" i="3"/>
  <c r="P113" i="3"/>
  <c r="O113" i="3"/>
  <c r="K113" i="3"/>
  <c r="J113" i="3"/>
  <c r="I113" i="3"/>
  <c r="G113" i="3"/>
  <c r="F113" i="3"/>
  <c r="D113" i="3"/>
  <c r="C113" i="3"/>
  <c r="S112" i="3"/>
  <c r="P112" i="3"/>
  <c r="O112" i="3"/>
  <c r="Q112" i="3" s="1"/>
  <c r="R112" i="3" s="1"/>
  <c r="T112" i="3" s="1"/>
  <c r="K112" i="3"/>
  <c r="J112" i="3"/>
  <c r="I112" i="3"/>
  <c r="G112" i="3"/>
  <c r="F112" i="3"/>
  <c r="D112" i="3"/>
  <c r="C112" i="3"/>
  <c r="S111" i="3"/>
  <c r="P111" i="3"/>
  <c r="O111" i="3"/>
  <c r="K111" i="3"/>
  <c r="J111" i="3"/>
  <c r="I111" i="3"/>
  <c r="G111" i="3"/>
  <c r="F111" i="3"/>
  <c r="D111" i="3"/>
  <c r="C111" i="3"/>
  <c r="S110" i="3"/>
  <c r="P110" i="3"/>
  <c r="Q110" i="3" s="1"/>
  <c r="R110" i="3" s="1"/>
  <c r="T110" i="3" s="1"/>
  <c r="O110" i="3"/>
  <c r="K110" i="3"/>
  <c r="J110" i="3"/>
  <c r="I110" i="3"/>
  <c r="G110" i="3"/>
  <c r="F110" i="3"/>
  <c r="D110" i="3"/>
  <c r="C110" i="3"/>
  <c r="S109" i="3"/>
  <c r="Q109" i="3"/>
  <c r="R109" i="3" s="1"/>
  <c r="T109" i="3" s="1"/>
  <c r="P109" i="3"/>
  <c r="O109" i="3"/>
  <c r="K109" i="3"/>
  <c r="J109" i="3"/>
  <c r="I109" i="3"/>
  <c r="G109" i="3"/>
  <c r="F109" i="3"/>
  <c r="D109" i="3"/>
  <c r="C109" i="3"/>
  <c r="S108" i="3"/>
  <c r="P108" i="3"/>
  <c r="O108" i="3"/>
  <c r="Q108" i="3" s="1"/>
  <c r="R108" i="3" s="1"/>
  <c r="T108" i="3" s="1"/>
  <c r="K108" i="3"/>
  <c r="J108" i="3"/>
  <c r="I108" i="3"/>
  <c r="G108" i="3"/>
  <c r="F108" i="3"/>
  <c r="D108" i="3"/>
  <c r="C108" i="3"/>
  <c r="S107" i="3"/>
  <c r="P107" i="3"/>
  <c r="Q107" i="3" s="1"/>
  <c r="R107" i="3" s="1"/>
  <c r="T107" i="3" s="1"/>
  <c r="O107" i="3"/>
  <c r="K107" i="3"/>
  <c r="J107" i="3"/>
  <c r="I107" i="3"/>
  <c r="G107" i="3"/>
  <c r="F107" i="3"/>
  <c r="D107" i="3"/>
  <c r="C107" i="3"/>
  <c r="S106" i="3"/>
  <c r="P106" i="3"/>
  <c r="O106" i="3"/>
  <c r="Q106" i="3" s="1"/>
  <c r="R106" i="3" s="1"/>
  <c r="T106" i="3" s="1"/>
  <c r="K106" i="3"/>
  <c r="J106" i="3"/>
  <c r="I106" i="3"/>
  <c r="G106" i="3"/>
  <c r="F106" i="3"/>
  <c r="D106" i="3"/>
  <c r="C106" i="3"/>
  <c r="S105" i="3"/>
  <c r="Q105" i="3"/>
  <c r="R105" i="3" s="1"/>
  <c r="T105" i="3" s="1"/>
  <c r="P105" i="3"/>
  <c r="O105" i="3"/>
  <c r="K105" i="3"/>
  <c r="J105" i="3"/>
  <c r="I105" i="3"/>
  <c r="G105" i="3"/>
  <c r="F105" i="3"/>
  <c r="D105" i="3"/>
  <c r="C105" i="3"/>
  <c r="S104" i="3"/>
  <c r="P104" i="3"/>
  <c r="O104" i="3"/>
  <c r="Q104" i="3" s="1"/>
  <c r="R104" i="3" s="1"/>
  <c r="T104" i="3" s="1"/>
  <c r="K104" i="3"/>
  <c r="J104" i="3"/>
  <c r="I104" i="3"/>
  <c r="G104" i="3"/>
  <c r="F104" i="3"/>
  <c r="D104" i="3"/>
  <c r="C104" i="3"/>
  <c r="S103" i="3"/>
  <c r="P103" i="3"/>
  <c r="Q103" i="3" s="1"/>
  <c r="R103" i="3" s="1"/>
  <c r="T103" i="3" s="1"/>
  <c r="O103" i="3"/>
  <c r="K103" i="3"/>
  <c r="J103" i="3"/>
  <c r="I103" i="3"/>
  <c r="G103" i="3"/>
  <c r="F103" i="3"/>
  <c r="D103" i="3"/>
  <c r="C103" i="3"/>
  <c r="S102" i="3"/>
  <c r="P102" i="3"/>
  <c r="Q102" i="3" s="1"/>
  <c r="R102" i="3" s="1"/>
  <c r="T102" i="3" s="1"/>
  <c r="O102" i="3"/>
  <c r="K102" i="3"/>
  <c r="J102" i="3"/>
  <c r="I102" i="3"/>
  <c r="G102" i="3"/>
  <c r="F102" i="3"/>
  <c r="D102" i="3"/>
  <c r="C102" i="3"/>
  <c r="S101" i="3"/>
  <c r="P101" i="3"/>
  <c r="Q101" i="3" s="1"/>
  <c r="R101" i="3" s="1"/>
  <c r="T101" i="3" s="1"/>
  <c r="O101" i="3"/>
  <c r="K101" i="3"/>
  <c r="J101" i="3"/>
  <c r="I101" i="3"/>
  <c r="G101" i="3"/>
  <c r="F101" i="3"/>
  <c r="D101" i="3"/>
  <c r="C101" i="3"/>
  <c r="S100" i="3"/>
  <c r="P100" i="3"/>
  <c r="O100" i="3"/>
  <c r="Q100" i="3" s="1"/>
  <c r="R100" i="3" s="1"/>
  <c r="T100" i="3" s="1"/>
  <c r="K100" i="3"/>
  <c r="J100" i="3"/>
  <c r="I100" i="3"/>
  <c r="G100" i="3"/>
  <c r="F100" i="3"/>
  <c r="D100" i="3"/>
  <c r="C100" i="3"/>
  <c r="S99" i="3"/>
  <c r="P99" i="3"/>
  <c r="O99" i="3"/>
  <c r="Q99" i="3" s="1"/>
  <c r="R99" i="3" s="1"/>
  <c r="T99" i="3" s="1"/>
  <c r="K99" i="3"/>
  <c r="J99" i="3"/>
  <c r="I99" i="3"/>
  <c r="G99" i="3"/>
  <c r="F99" i="3"/>
  <c r="D99" i="3"/>
  <c r="C99" i="3"/>
  <c r="S98" i="3"/>
  <c r="P98" i="3"/>
  <c r="Q98" i="3" s="1"/>
  <c r="R98" i="3" s="1"/>
  <c r="T98" i="3" s="1"/>
  <c r="O98" i="3"/>
  <c r="K98" i="3"/>
  <c r="J98" i="3"/>
  <c r="I98" i="3"/>
  <c r="G98" i="3"/>
  <c r="F98" i="3"/>
  <c r="D98" i="3"/>
  <c r="C98" i="3"/>
  <c r="S97" i="3"/>
  <c r="P97" i="3"/>
  <c r="Q97" i="3" s="1"/>
  <c r="R97" i="3" s="1"/>
  <c r="T97" i="3" s="1"/>
  <c r="O97" i="3"/>
  <c r="K97" i="3"/>
  <c r="J97" i="3"/>
  <c r="I97" i="3"/>
  <c r="G97" i="3"/>
  <c r="F97" i="3"/>
  <c r="D97" i="3"/>
  <c r="C97" i="3"/>
  <c r="S96" i="3"/>
  <c r="Q96" i="3"/>
  <c r="R96" i="3" s="1"/>
  <c r="T96" i="3" s="1"/>
  <c r="P96" i="3"/>
  <c r="O96" i="3"/>
  <c r="K96" i="3"/>
  <c r="J96" i="3"/>
  <c r="I96" i="3"/>
  <c r="G96" i="3"/>
  <c r="F96" i="3"/>
  <c r="D96" i="3"/>
  <c r="C96" i="3"/>
  <c r="S95" i="3"/>
  <c r="P95" i="3"/>
  <c r="O95" i="3"/>
  <c r="K95" i="3"/>
  <c r="J95" i="3"/>
  <c r="I95" i="3"/>
  <c r="G95" i="3"/>
  <c r="F95" i="3"/>
  <c r="D95" i="3"/>
  <c r="C95" i="3"/>
  <c r="S94" i="3"/>
  <c r="P94" i="3"/>
  <c r="Q94" i="3" s="1"/>
  <c r="R94" i="3" s="1"/>
  <c r="T94" i="3" s="1"/>
  <c r="O94" i="3"/>
  <c r="K94" i="3"/>
  <c r="J94" i="3"/>
  <c r="I94" i="3"/>
  <c r="G94" i="3"/>
  <c r="F94" i="3"/>
  <c r="D94" i="3"/>
  <c r="C94" i="3"/>
  <c r="S93" i="3"/>
  <c r="P93" i="3"/>
  <c r="Q93" i="3" s="1"/>
  <c r="R93" i="3" s="1"/>
  <c r="T93" i="3" s="1"/>
  <c r="O93" i="3"/>
  <c r="K93" i="3"/>
  <c r="J93" i="3"/>
  <c r="I93" i="3"/>
  <c r="G93" i="3"/>
  <c r="F93" i="3"/>
  <c r="D93" i="3"/>
  <c r="C93" i="3"/>
  <c r="S92" i="3"/>
  <c r="P92" i="3"/>
  <c r="O92" i="3"/>
  <c r="Q92" i="3" s="1"/>
  <c r="R92" i="3" s="1"/>
  <c r="T92" i="3" s="1"/>
  <c r="K92" i="3"/>
  <c r="J92" i="3"/>
  <c r="I92" i="3"/>
  <c r="G92" i="3"/>
  <c r="F92" i="3"/>
  <c r="D92" i="3"/>
  <c r="C92" i="3"/>
  <c r="S91" i="3"/>
  <c r="Q91" i="3"/>
  <c r="R91" i="3" s="1"/>
  <c r="T91" i="3" s="1"/>
  <c r="P91" i="3"/>
  <c r="O91" i="3"/>
  <c r="K91" i="3"/>
  <c r="J91" i="3"/>
  <c r="I91" i="3"/>
  <c r="G91" i="3"/>
  <c r="F91" i="3"/>
  <c r="D91" i="3"/>
  <c r="C91" i="3"/>
  <c r="S90" i="3"/>
  <c r="P90" i="3"/>
  <c r="Q90" i="3" s="1"/>
  <c r="R90" i="3" s="1"/>
  <c r="T90" i="3" s="1"/>
  <c r="O90" i="3"/>
  <c r="K90" i="3"/>
  <c r="J90" i="3"/>
  <c r="I90" i="3"/>
  <c r="G90" i="3"/>
  <c r="F90" i="3"/>
  <c r="D90" i="3"/>
  <c r="C90" i="3"/>
  <c r="S89" i="3"/>
  <c r="R89" i="3"/>
  <c r="T89" i="3" s="1"/>
  <c r="P89" i="3"/>
  <c r="Q89" i="3" s="1"/>
  <c r="O89" i="3"/>
  <c r="K89" i="3"/>
  <c r="J89" i="3"/>
  <c r="I89" i="3"/>
  <c r="G89" i="3"/>
  <c r="F89" i="3"/>
  <c r="D89" i="3"/>
  <c r="C89" i="3"/>
  <c r="S88" i="3"/>
  <c r="P88" i="3"/>
  <c r="Q88" i="3" s="1"/>
  <c r="R88" i="3" s="1"/>
  <c r="T88" i="3" s="1"/>
  <c r="O88" i="3"/>
  <c r="K88" i="3"/>
  <c r="J88" i="3"/>
  <c r="I88" i="3"/>
  <c r="G88" i="3"/>
  <c r="F88" i="3"/>
  <c r="D88" i="3"/>
  <c r="C88" i="3"/>
  <c r="S87" i="3"/>
  <c r="P87" i="3"/>
  <c r="O87" i="3"/>
  <c r="K87" i="3"/>
  <c r="J87" i="3"/>
  <c r="I87" i="3"/>
  <c r="G87" i="3"/>
  <c r="F87" i="3"/>
  <c r="D87" i="3"/>
  <c r="C87" i="3"/>
  <c r="S86" i="3"/>
  <c r="P86" i="3"/>
  <c r="O86" i="3"/>
  <c r="K86" i="3"/>
  <c r="J86" i="3"/>
  <c r="I86" i="3"/>
  <c r="G86" i="3"/>
  <c r="F86" i="3"/>
  <c r="D86" i="3"/>
  <c r="C86" i="3"/>
  <c r="S85" i="3"/>
  <c r="P85" i="3"/>
  <c r="O85" i="3"/>
  <c r="Q85" i="3" s="1"/>
  <c r="R85" i="3" s="1"/>
  <c r="T85" i="3" s="1"/>
  <c r="K85" i="3"/>
  <c r="J85" i="3"/>
  <c r="I85" i="3"/>
  <c r="G85" i="3"/>
  <c r="F85" i="3"/>
  <c r="D85" i="3"/>
  <c r="C85" i="3"/>
  <c r="S84" i="3"/>
  <c r="Q84" i="3"/>
  <c r="R84" i="3" s="1"/>
  <c r="T84" i="3" s="1"/>
  <c r="P84" i="3"/>
  <c r="O84" i="3"/>
  <c r="K84" i="3"/>
  <c r="J84" i="3"/>
  <c r="I84" i="3"/>
  <c r="G84" i="3"/>
  <c r="F84" i="3"/>
  <c r="D84" i="3"/>
  <c r="C84" i="3"/>
  <c r="S83" i="3"/>
  <c r="P83" i="3"/>
  <c r="O83" i="3"/>
  <c r="K83" i="3"/>
  <c r="J83" i="3"/>
  <c r="I83" i="3"/>
  <c r="G83" i="3"/>
  <c r="F83" i="3"/>
  <c r="D83" i="3"/>
  <c r="C83" i="3"/>
  <c r="S82" i="3"/>
  <c r="P82" i="3"/>
  <c r="Q82" i="3" s="1"/>
  <c r="R82" i="3" s="1"/>
  <c r="T82" i="3" s="1"/>
  <c r="O82" i="3"/>
  <c r="K82" i="3"/>
  <c r="J82" i="3"/>
  <c r="I82" i="3"/>
  <c r="G82" i="3"/>
  <c r="F82" i="3"/>
  <c r="D82" i="3"/>
  <c r="C82" i="3"/>
  <c r="S81" i="3"/>
  <c r="P81" i="3"/>
  <c r="Q81" i="3" s="1"/>
  <c r="R81" i="3" s="1"/>
  <c r="T81" i="3" s="1"/>
  <c r="O81" i="3"/>
  <c r="K81" i="3"/>
  <c r="J81" i="3"/>
  <c r="I81" i="3"/>
  <c r="G81" i="3"/>
  <c r="F81" i="3"/>
  <c r="D81" i="3"/>
  <c r="C81" i="3"/>
  <c r="S80" i="3"/>
  <c r="P80" i="3"/>
  <c r="Q80" i="3" s="1"/>
  <c r="R80" i="3" s="1"/>
  <c r="T80" i="3" s="1"/>
  <c r="O80" i="3"/>
  <c r="K80" i="3"/>
  <c r="J80" i="3"/>
  <c r="I80" i="3"/>
  <c r="G80" i="3"/>
  <c r="F80" i="3"/>
  <c r="D80" i="3"/>
  <c r="C80" i="3"/>
  <c r="S79" i="3"/>
  <c r="P79" i="3"/>
  <c r="Q79" i="3" s="1"/>
  <c r="R79" i="3" s="1"/>
  <c r="T79" i="3" s="1"/>
  <c r="O79" i="3"/>
  <c r="K79" i="3"/>
  <c r="J79" i="3"/>
  <c r="I79" i="3"/>
  <c r="G79" i="3"/>
  <c r="F79" i="3"/>
  <c r="D79" i="3"/>
  <c r="C79" i="3"/>
  <c r="S78" i="3"/>
  <c r="P78" i="3"/>
  <c r="O78" i="3"/>
  <c r="Q78" i="3" s="1"/>
  <c r="R78" i="3" s="1"/>
  <c r="T78" i="3" s="1"/>
  <c r="K78" i="3"/>
  <c r="J78" i="3"/>
  <c r="I78" i="3"/>
  <c r="G78" i="3"/>
  <c r="F78" i="3"/>
  <c r="D78" i="3"/>
  <c r="C78" i="3"/>
  <c r="S77" i="3"/>
  <c r="Q77" i="3"/>
  <c r="R77" i="3" s="1"/>
  <c r="T77" i="3" s="1"/>
  <c r="P77" i="3"/>
  <c r="O77" i="3"/>
  <c r="K77" i="3"/>
  <c r="J77" i="3"/>
  <c r="I77" i="3"/>
  <c r="G77" i="3"/>
  <c r="F77" i="3"/>
  <c r="D77" i="3"/>
  <c r="C77" i="3"/>
  <c r="S76" i="3"/>
  <c r="P76" i="3"/>
  <c r="O76" i="3"/>
  <c r="K76" i="3"/>
  <c r="J76" i="3"/>
  <c r="I76" i="3"/>
  <c r="G76" i="3"/>
  <c r="F76" i="3"/>
  <c r="D76" i="3"/>
  <c r="C76" i="3"/>
  <c r="S75" i="3"/>
  <c r="P75" i="3"/>
  <c r="Q75" i="3" s="1"/>
  <c r="R75" i="3" s="1"/>
  <c r="T75" i="3" s="1"/>
  <c r="O75" i="3"/>
  <c r="K75" i="3"/>
  <c r="J75" i="3"/>
  <c r="I75" i="3"/>
  <c r="G75" i="3"/>
  <c r="F75" i="3"/>
  <c r="D75" i="3"/>
  <c r="C75" i="3"/>
  <c r="S74" i="3"/>
  <c r="P74" i="3"/>
  <c r="Q74" i="3" s="1"/>
  <c r="R74" i="3" s="1"/>
  <c r="T74" i="3" s="1"/>
  <c r="O74" i="3"/>
  <c r="K74" i="3"/>
  <c r="J74" i="3"/>
  <c r="I74" i="3"/>
  <c r="G74" i="3"/>
  <c r="F74" i="3"/>
  <c r="D74" i="3"/>
  <c r="C74" i="3"/>
  <c r="S73" i="3"/>
  <c r="P73" i="3"/>
  <c r="Q73" i="3" s="1"/>
  <c r="R73" i="3" s="1"/>
  <c r="T73" i="3" s="1"/>
  <c r="O73" i="3"/>
  <c r="K73" i="3"/>
  <c r="J73" i="3"/>
  <c r="I73" i="3"/>
  <c r="G73" i="3"/>
  <c r="F73" i="3"/>
  <c r="D73" i="3"/>
  <c r="C73" i="3"/>
  <c r="S72" i="3"/>
  <c r="P72" i="3"/>
  <c r="Q72" i="3" s="1"/>
  <c r="R72" i="3" s="1"/>
  <c r="T72" i="3" s="1"/>
  <c r="O72" i="3"/>
  <c r="K72" i="3"/>
  <c r="J72" i="3"/>
  <c r="I72" i="3"/>
  <c r="G72" i="3"/>
  <c r="F72" i="3"/>
  <c r="D72" i="3"/>
  <c r="C72" i="3"/>
  <c r="S71" i="3"/>
  <c r="P71" i="3"/>
  <c r="O71" i="3"/>
  <c r="K71" i="3"/>
  <c r="J71" i="3"/>
  <c r="I71" i="3"/>
  <c r="G71" i="3"/>
  <c r="F71" i="3"/>
  <c r="D71" i="3"/>
  <c r="C71" i="3"/>
  <c r="S70" i="3"/>
  <c r="P70" i="3"/>
  <c r="O70" i="3"/>
  <c r="Q70" i="3" s="1"/>
  <c r="R70" i="3" s="1"/>
  <c r="T70" i="3" s="1"/>
  <c r="K70" i="3"/>
  <c r="J70" i="3"/>
  <c r="I70" i="3"/>
  <c r="G70" i="3"/>
  <c r="F70" i="3"/>
  <c r="D70" i="3"/>
  <c r="C70" i="3"/>
  <c r="S69" i="3"/>
  <c r="Q69" i="3"/>
  <c r="R69" i="3" s="1"/>
  <c r="T69" i="3" s="1"/>
  <c r="P69" i="3"/>
  <c r="O69" i="3"/>
  <c r="K69" i="3"/>
  <c r="J69" i="3"/>
  <c r="I69" i="3"/>
  <c r="G69" i="3"/>
  <c r="F69" i="3"/>
  <c r="D69" i="3"/>
  <c r="C69" i="3"/>
  <c r="S68" i="3"/>
  <c r="P68" i="3"/>
  <c r="O68" i="3"/>
  <c r="K68" i="3"/>
  <c r="J68" i="3"/>
  <c r="I68" i="3"/>
  <c r="G68" i="3"/>
  <c r="F68" i="3"/>
  <c r="D68" i="3"/>
  <c r="C68" i="3"/>
  <c r="T67" i="3"/>
  <c r="S67" i="3"/>
  <c r="P67" i="3"/>
  <c r="Q67" i="3" s="1"/>
  <c r="R67" i="3" s="1"/>
  <c r="O67" i="3"/>
  <c r="K67" i="3"/>
  <c r="J67" i="3"/>
  <c r="I67" i="3"/>
  <c r="G67" i="3"/>
  <c r="F67" i="3"/>
  <c r="D67" i="3"/>
  <c r="C67" i="3"/>
  <c r="S66" i="3"/>
  <c r="Q66" i="3"/>
  <c r="R66" i="3" s="1"/>
  <c r="T66" i="3" s="1"/>
  <c r="P66" i="3"/>
  <c r="O66" i="3"/>
  <c r="K66" i="3"/>
  <c r="J66" i="3"/>
  <c r="I66" i="3"/>
  <c r="G66" i="3"/>
  <c r="F66" i="3"/>
  <c r="D66" i="3"/>
  <c r="C66" i="3"/>
  <c r="S65" i="3"/>
  <c r="P65" i="3"/>
  <c r="Q65" i="3" s="1"/>
  <c r="R65" i="3" s="1"/>
  <c r="T65" i="3" s="1"/>
  <c r="O65" i="3"/>
  <c r="K65" i="3"/>
  <c r="J65" i="3"/>
  <c r="I65" i="3"/>
  <c r="G65" i="3"/>
  <c r="F65" i="3"/>
  <c r="D65" i="3"/>
  <c r="C65" i="3"/>
  <c r="S64" i="3"/>
  <c r="P64" i="3"/>
  <c r="Q64" i="3" s="1"/>
  <c r="R64" i="3" s="1"/>
  <c r="T64" i="3" s="1"/>
  <c r="O64" i="3"/>
  <c r="K64" i="3"/>
  <c r="J64" i="3"/>
  <c r="I64" i="3"/>
  <c r="G64" i="3"/>
  <c r="F64" i="3"/>
  <c r="D64" i="3"/>
  <c r="C64" i="3"/>
  <c r="S63" i="3"/>
  <c r="P63" i="3"/>
  <c r="Q63" i="3" s="1"/>
  <c r="R63" i="3" s="1"/>
  <c r="T63" i="3" s="1"/>
  <c r="O63" i="3"/>
  <c r="K63" i="3"/>
  <c r="J63" i="3"/>
  <c r="I63" i="3"/>
  <c r="G63" i="3"/>
  <c r="F63" i="3"/>
  <c r="D63" i="3"/>
  <c r="C63" i="3"/>
  <c r="S62" i="3"/>
  <c r="P62" i="3"/>
  <c r="O62" i="3"/>
  <c r="Q62" i="3" s="1"/>
  <c r="R62" i="3" s="1"/>
  <c r="T62" i="3" s="1"/>
  <c r="K62" i="3"/>
  <c r="J62" i="3"/>
  <c r="I62" i="3"/>
  <c r="G62" i="3"/>
  <c r="F62" i="3"/>
  <c r="D62" i="3"/>
  <c r="C62" i="3"/>
  <c r="S61" i="3"/>
  <c r="Q61" i="3"/>
  <c r="R61" i="3" s="1"/>
  <c r="T61" i="3" s="1"/>
  <c r="P61" i="3"/>
  <c r="O61" i="3"/>
  <c r="K61" i="3"/>
  <c r="J61" i="3"/>
  <c r="I61" i="3"/>
  <c r="G61" i="3"/>
  <c r="F61" i="3"/>
  <c r="D61" i="3"/>
  <c r="C61" i="3"/>
  <c r="S60" i="3"/>
  <c r="P60" i="3"/>
  <c r="O60" i="3"/>
  <c r="K60" i="3"/>
  <c r="J60" i="3"/>
  <c r="I60" i="3"/>
  <c r="G60" i="3"/>
  <c r="F60" i="3"/>
  <c r="D60" i="3"/>
  <c r="C60" i="3"/>
  <c r="S59" i="3"/>
  <c r="P59" i="3"/>
  <c r="Q59" i="3" s="1"/>
  <c r="R59" i="3" s="1"/>
  <c r="T59" i="3" s="1"/>
  <c r="O59" i="3"/>
  <c r="K59" i="3"/>
  <c r="J59" i="3"/>
  <c r="I59" i="3"/>
  <c r="G59" i="3"/>
  <c r="F59" i="3"/>
  <c r="D59" i="3"/>
  <c r="C59" i="3"/>
  <c r="S58" i="3"/>
  <c r="P58" i="3"/>
  <c r="Q58" i="3" s="1"/>
  <c r="R58" i="3" s="1"/>
  <c r="T58" i="3" s="1"/>
  <c r="O58" i="3"/>
  <c r="K58" i="3"/>
  <c r="J58" i="3"/>
  <c r="I58" i="3"/>
  <c r="G58" i="3"/>
  <c r="F58" i="3"/>
  <c r="D58" i="3"/>
  <c r="C58" i="3"/>
  <c r="S57" i="3"/>
  <c r="P57" i="3"/>
  <c r="Q57" i="3" s="1"/>
  <c r="R57" i="3" s="1"/>
  <c r="T57" i="3" s="1"/>
  <c r="O57" i="3"/>
  <c r="K57" i="3"/>
  <c r="J57" i="3"/>
  <c r="I57" i="3"/>
  <c r="G57" i="3"/>
  <c r="F57" i="3"/>
  <c r="D57" i="3"/>
  <c r="C57" i="3"/>
  <c r="S56" i="3"/>
  <c r="P56" i="3"/>
  <c r="Q56" i="3" s="1"/>
  <c r="R56" i="3" s="1"/>
  <c r="T56" i="3" s="1"/>
  <c r="O56" i="3"/>
  <c r="K56" i="3"/>
  <c r="J56" i="3"/>
  <c r="I56" i="3"/>
  <c r="G56" i="3"/>
  <c r="F56" i="3"/>
  <c r="D56" i="3"/>
  <c r="C56" i="3"/>
  <c r="S55" i="3"/>
  <c r="P55" i="3"/>
  <c r="O55" i="3"/>
  <c r="K55" i="3"/>
  <c r="J55" i="3"/>
  <c r="I55" i="3"/>
  <c r="G55" i="3"/>
  <c r="F55" i="3"/>
  <c r="D55" i="3"/>
  <c r="C55" i="3"/>
  <c r="T54" i="3"/>
  <c r="S54" i="3"/>
  <c r="P54" i="3"/>
  <c r="O54" i="3"/>
  <c r="Q54" i="3" s="1"/>
  <c r="R54" i="3" s="1"/>
  <c r="K54" i="3"/>
  <c r="J54" i="3"/>
  <c r="I54" i="3"/>
  <c r="G54" i="3"/>
  <c r="F54" i="3"/>
  <c r="D54" i="3"/>
  <c r="C54" i="3"/>
  <c r="S53" i="3"/>
  <c r="Q53" i="3"/>
  <c r="R53" i="3" s="1"/>
  <c r="T53" i="3" s="1"/>
  <c r="P53" i="3"/>
  <c r="O53" i="3"/>
  <c r="K53" i="3"/>
  <c r="J53" i="3"/>
  <c r="I53" i="3"/>
  <c r="G53" i="3"/>
  <c r="F53" i="3"/>
  <c r="D53" i="3"/>
  <c r="C53" i="3"/>
  <c r="S52" i="3"/>
  <c r="P52" i="3"/>
  <c r="O52" i="3"/>
  <c r="K52" i="3"/>
  <c r="J52" i="3"/>
  <c r="I52" i="3"/>
  <c r="G52" i="3"/>
  <c r="F52" i="3"/>
  <c r="D52" i="3"/>
  <c r="C52" i="3"/>
  <c r="T51" i="3"/>
  <c r="S51" i="3"/>
  <c r="P51" i="3"/>
  <c r="Q51" i="3" s="1"/>
  <c r="R51" i="3" s="1"/>
  <c r="O51" i="3"/>
  <c r="K51" i="3"/>
  <c r="J51" i="3"/>
  <c r="I51" i="3"/>
  <c r="G51" i="3"/>
  <c r="F51" i="3"/>
  <c r="D51" i="3"/>
  <c r="C51" i="3"/>
  <c r="S50" i="3"/>
  <c r="Q50" i="3"/>
  <c r="R50" i="3" s="1"/>
  <c r="T50" i="3" s="1"/>
  <c r="P50" i="3"/>
  <c r="O50" i="3"/>
  <c r="K50" i="3"/>
  <c r="J50" i="3"/>
  <c r="I50" i="3"/>
  <c r="G50" i="3"/>
  <c r="F50" i="3"/>
  <c r="D50" i="3"/>
  <c r="C50" i="3"/>
  <c r="S49" i="3"/>
  <c r="P49" i="3"/>
  <c r="Q49" i="3" s="1"/>
  <c r="R49" i="3" s="1"/>
  <c r="T49" i="3" s="1"/>
  <c r="O49" i="3"/>
  <c r="K49" i="3"/>
  <c r="J49" i="3"/>
  <c r="I49" i="3"/>
  <c r="G49" i="3"/>
  <c r="F49" i="3"/>
  <c r="D49" i="3"/>
  <c r="C49" i="3"/>
  <c r="S48" i="3"/>
  <c r="P48" i="3"/>
  <c r="Q48" i="3" s="1"/>
  <c r="R48" i="3" s="1"/>
  <c r="T48" i="3" s="1"/>
  <c r="O48" i="3"/>
  <c r="K48" i="3"/>
  <c r="J48" i="3"/>
  <c r="I48" i="3"/>
  <c r="G48" i="3"/>
  <c r="F48" i="3"/>
  <c r="D48" i="3"/>
  <c r="C48" i="3"/>
  <c r="S47" i="3"/>
  <c r="P47" i="3"/>
  <c r="Q47" i="3" s="1"/>
  <c r="R47" i="3" s="1"/>
  <c r="T47" i="3" s="1"/>
  <c r="O47" i="3"/>
  <c r="K47" i="3"/>
  <c r="J47" i="3"/>
  <c r="I47" i="3"/>
  <c r="G47" i="3"/>
  <c r="F47" i="3"/>
  <c r="D47" i="3"/>
  <c r="C47" i="3"/>
  <c r="S46" i="3"/>
  <c r="P46" i="3"/>
  <c r="O46" i="3"/>
  <c r="Q46" i="3" s="1"/>
  <c r="R46" i="3" s="1"/>
  <c r="T46" i="3" s="1"/>
  <c r="K46" i="3"/>
  <c r="J46" i="3"/>
  <c r="I46" i="3"/>
  <c r="G46" i="3"/>
  <c r="F46" i="3"/>
  <c r="D46" i="3"/>
  <c r="C46" i="3"/>
  <c r="S45" i="3"/>
  <c r="Q45" i="3"/>
  <c r="R45" i="3" s="1"/>
  <c r="T45" i="3" s="1"/>
  <c r="P45" i="3"/>
  <c r="O45" i="3"/>
  <c r="K45" i="3"/>
  <c r="J45" i="3"/>
  <c r="I45" i="3"/>
  <c r="G45" i="3"/>
  <c r="F45" i="3"/>
  <c r="D45" i="3"/>
  <c r="C45" i="3"/>
  <c r="S44" i="3"/>
  <c r="P44" i="3"/>
  <c r="O44" i="3"/>
  <c r="K44" i="3"/>
  <c r="J44" i="3"/>
  <c r="I44" i="3"/>
  <c r="G44" i="3"/>
  <c r="F44" i="3"/>
  <c r="D44" i="3"/>
  <c r="C44" i="3"/>
  <c r="S43" i="3"/>
  <c r="P43" i="3"/>
  <c r="Q43" i="3" s="1"/>
  <c r="R43" i="3" s="1"/>
  <c r="T43" i="3" s="1"/>
  <c r="O43" i="3"/>
  <c r="K43" i="3"/>
  <c r="J43" i="3"/>
  <c r="I43" i="3"/>
  <c r="G43" i="3"/>
  <c r="F43" i="3"/>
  <c r="D43" i="3"/>
  <c r="C43" i="3"/>
  <c r="S42" i="3"/>
  <c r="P42" i="3"/>
  <c r="Q42" i="3" s="1"/>
  <c r="R42" i="3" s="1"/>
  <c r="T42" i="3" s="1"/>
  <c r="O42" i="3"/>
  <c r="K42" i="3"/>
  <c r="J42" i="3"/>
  <c r="I42" i="3"/>
  <c r="G42" i="3"/>
  <c r="F42" i="3"/>
  <c r="D42" i="3"/>
  <c r="C42" i="3"/>
  <c r="S41" i="3"/>
  <c r="P41" i="3"/>
  <c r="Q41" i="3" s="1"/>
  <c r="R41" i="3" s="1"/>
  <c r="T41" i="3" s="1"/>
  <c r="O41" i="3"/>
  <c r="K41" i="3"/>
  <c r="J41" i="3"/>
  <c r="I41" i="3"/>
  <c r="G41" i="3"/>
  <c r="F41" i="3"/>
  <c r="D41" i="3"/>
  <c r="C41" i="3"/>
  <c r="S40" i="3"/>
  <c r="P40" i="3"/>
  <c r="Q40" i="3" s="1"/>
  <c r="R40" i="3" s="1"/>
  <c r="T40" i="3" s="1"/>
  <c r="O40" i="3"/>
  <c r="K40" i="3"/>
  <c r="J40" i="3"/>
  <c r="I40" i="3"/>
  <c r="G40" i="3"/>
  <c r="F40" i="3"/>
  <c r="D40" i="3"/>
  <c r="C40" i="3"/>
  <c r="S39" i="3"/>
  <c r="P39" i="3"/>
  <c r="O39" i="3"/>
  <c r="K39" i="3"/>
  <c r="J39" i="3"/>
  <c r="I39" i="3"/>
  <c r="G39" i="3"/>
  <c r="F39" i="3"/>
  <c r="D39" i="3"/>
  <c r="C39" i="3"/>
  <c r="S38" i="3"/>
  <c r="P38" i="3"/>
  <c r="O38" i="3"/>
  <c r="Q38" i="3" s="1"/>
  <c r="R38" i="3" s="1"/>
  <c r="T38" i="3" s="1"/>
  <c r="K38" i="3"/>
  <c r="J38" i="3"/>
  <c r="I38" i="3"/>
  <c r="G38" i="3"/>
  <c r="F38" i="3"/>
  <c r="D38" i="3"/>
  <c r="C38" i="3"/>
  <c r="S37" i="3"/>
  <c r="Q37" i="3"/>
  <c r="R37" i="3" s="1"/>
  <c r="T37" i="3" s="1"/>
  <c r="P37" i="3"/>
  <c r="O37" i="3"/>
  <c r="K37" i="3"/>
  <c r="J37" i="3"/>
  <c r="I37" i="3"/>
  <c r="G37" i="3"/>
  <c r="F37" i="3"/>
  <c r="D37" i="3"/>
  <c r="C37" i="3"/>
  <c r="S36" i="3"/>
  <c r="P36" i="3"/>
  <c r="O36" i="3"/>
  <c r="K36" i="3"/>
  <c r="J36" i="3"/>
  <c r="I36" i="3"/>
  <c r="G36" i="3"/>
  <c r="F36" i="3"/>
  <c r="D36" i="3"/>
  <c r="C36" i="3"/>
  <c r="T35" i="3"/>
  <c r="S35" i="3"/>
  <c r="P35" i="3"/>
  <c r="Q35" i="3" s="1"/>
  <c r="R35" i="3" s="1"/>
  <c r="O35" i="3"/>
  <c r="K35" i="3"/>
  <c r="J35" i="3"/>
  <c r="I35" i="3"/>
  <c r="G35" i="3"/>
  <c r="F35" i="3"/>
  <c r="D35" i="3"/>
  <c r="C35" i="3"/>
  <c r="S34" i="3"/>
  <c r="Q34" i="3"/>
  <c r="R34" i="3" s="1"/>
  <c r="T34" i="3" s="1"/>
  <c r="P34" i="3"/>
  <c r="O34" i="3"/>
  <c r="K34" i="3"/>
  <c r="J34" i="3"/>
  <c r="I34" i="3"/>
  <c r="G34" i="3"/>
  <c r="F34" i="3"/>
  <c r="D34" i="3"/>
  <c r="C34" i="3"/>
  <c r="S33" i="3"/>
  <c r="P33" i="3"/>
  <c r="Q33" i="3" s="1"/>
  <c r="R33" i="3" s="1"/>
  <c r="T33" i="3" s="1"/>
  <c r="O33" i="3"/>
  <c r="K33" i="3"/>
  <c r="J33" i="3"/>
  <c r="I33" i="3"/>
  <c r="G33" i="3"/>
  <c r="F33" i="3"/>
  <c r="D33" i="3"/>
  <c r="C33" i="3"/>
  <c r="S32" i="3"/>
  <c r="P32" i="3"/>
  <c r="Q32" i="3" s="1"/>
  <c r="R32" i="3" s="1"/>
  <c r="T32" i="3" s="1"/>
  <c r="O32" i="3"/>
  <c r="K32" i="3"/>
  <c r="J32" i="3"/>
  <c r="I32" i="3"/>
  <c r="G32" i="3"/>
  <c r="F32" i="3"/>
  <c r="D32" i="3"/>
  <c r="C32" i="3"/>
  <c r="S31" i="3"/>
  <c r="P31" i="3"/>
  <c r="Q31" i="3" s="1"/>
  <c r="R31" i="3" s="1"/>
  <c r="T31" i="3" s="1"/>
  <c r="O31" i="3"/>
  <c r="K31" i="3"/>
  <c r="J31" i="3"/>
  <c r="I31" i="3"/>
  <c r="G31" i="3"/>
  <c r="F31" i="3"/>
  <c r="D31" i="3"/>
  <c r="C31" i="3"/>
  <c r="S30" i="3"/>
  <c r="P30" i="3"/>
  <c r="O30" i="3"/>
  <c r="Q30" i="3" s="1"/>
  <c r="R30" i="3" s="1"/>
  <c r="T30" i="3" s="1"/>
  <c r="K30" i="3"/>
  <c r="J30" i="3"/>
  <c r="I30" i="3"/>
  <c r="G30" i="3"/>
  <c r="F30" i="3"/>
  <c r="D30" i="3"/>
  <c r="C30" i="3"/>
  <c r="S29" i="3"/>
  <c r="Q29" i="3"/>
  <c r="R29" i="3" s="1"/>
  <c r="T29" i="3" s="1"/>
  <c r="P29" i="3"/>
  <c r="O29" i="3"/>
  <c r="K29" i="3"/>
  <c r="J29" i="3"/>
  <c r="I29" i="3"/>
  <c r="G29" i="3"/>
  <c r="F29" i="3"/>
  <c r="D29" i="3"/>
  <c r="C29" i="3"/>
  <c r="S28" i="3"/>
  <c r="P28" i="3"/>
  <c r="O28" i="3"/>
  <c r="K28" i="3"/>
  <c r="J28" i="3"/>
  <c r="I28" i="3"/>
  <c r="G28" i="3"/>
  <c r="F28" i="3"/>
  <c r="D28" i="3"/>
  <c r="C28" i="3"/>
  <c r="S27" i="3"/>
  <c r="P27" i="3"/>
  <c r="Q27" i="3" s="1"/>
  <c r="R27" i="3" s="1"/>
  <c r="T27" i="3" s="1"/>
  <c r="O27" i="3"/>
  <c r="K27" i="3"/>
  <c r="J27" i="3"/>
  <c r="I27" i="3"/>
  <c r="G27" i="3"/>
  <c r="F27" i="3"/>
  <c r="D27" i="3"/>
  <c r="C27" i="3"/>
  <c r="S26" i="3"/>
  <c r="P26" i="3"/>
  <c r="Q26" i="3" s="1"/>
  <c r="R26" i="3" s="1"/>
  <c r="T26" i="3" s="1"/>
  <c r="O26" i="3"/>
  <c r="K26" i="3"/>
  <c r="J26" i="3"/>
  <c r="I26" i="3"/>
  <c r="G26" i="3"/>
  <c r="F26" i="3"/>
  <c r="D26" i="3"/>
  <c r="C26" i="3"/>
  <c r="S25" i="3"/>
  <c r="P25" i="3"/>
  <c r="Q25" i="3" s="1"/>
  <c r="R25" i="3" s="1"/>
  <c r="T25" i="3" s="1"/>
  <c r="O25" i="3"/>
  <c r="K25" i="3"/>
  <c r="J25" i="3"/>
  <c r="I25" i="3"/>
  <c r="G25" i="3"/>
  <c r="F25" i="3"/>
  <c r="D25" i="3"/>
  <c r="C25" i="3"/>
  <c r="S24" i="3"/>
  <c r="P24" i="3"/>
  <c r="Q24" i="3" s="1"/>
  <c r="R24" i="3" s="1"/>
  <c r="T24" i="3" s="1"/>
  <c r="O24" i="3"/>
  <c r="K24" i="3"/>
  <c r="J24" i="3"/>
  <c r="I24" i="3"/>
  <c r="G24" i="3"/>
  <c r="F24" i="3"/>
  <c r="D24" i="3"/>
  <c r="C24" i="3"/>
  <c r="S23" i="3"/>
  <c r="P23" i="3"/>
  <c r="O23" i="3"/>
  <c r="K23" i="3"/>
  <c r="J23" i="3"/>
  <c r="I23" i="3"/>
  <c r="G23" i="3"/>
  <c r="F23" i="3"/>
  <c r="D23" i="3"/>
  <c r="C23" i="3"/>
  <c r="T22" i="3"/>
  <c r="S22" i="3"/>
  <c r="P22" i="3"/>
  <c r="O22" i="3"/>
  <c r="Q22" i="3" s="1"/>
  <c r="R22" i="3" s="1"/>
  <c r="K22" i="3"/>
  <c r="J22" i="3"/>
  <c r="I22" i="3"/>
  <c r="G22" i="3"/>
  <c r="F22" i="3"/>
  <c r="D22" i="3"/>
  <c r="C22" i="3"/>
  <c r="S21" i="3"/>
  <c r="Q21" i="3"/>
  <c r="R21" i="3" s="1"/>
  <c r="T21" i="3" s="1"/>
  <c r="P21" i="3"/>
  <c r="O21" i="3"/>
  <c r="K21" i="3"/>
  <c r="J21" i="3"/>
  <c r="I21" i="3"/>
  <c r="G21" i="3"/>
  <c r="F21" i="3"/>
  <c r="D21" i="3"/>
  <c r="C21" i="3"/>
  <c r="S20" i="3"/>
  <c r="P20" i="3"/>
  <c r="O20" i="3"/>
  <c r="K20" i="3"/>
  <c r="J20" i="3"/>
  <c r="I20" i="3"/>
  <c r="G20" i="3"/>
  <c r="F20" i="3"/>
  <c r="D20" i="3"/>
  <c r="C20" i="3"/>
  <c r="T19" i="3"/>
  <c r="S19" i="3"/>
  <c r="P19" i="3"/>
  <c r="Q19" i="3" s="1"/>
  <c r="R19" i="3" s="1"/>
  <c r="O19" i="3"/>
  <c r="K19" i="3"/>
  <c r="J19" i="3"/>
  <c r="I19" i="3"/>
  <c r="G19" i="3"/>
  <c r="F19" i="3"/>
  <c r="D19" i="3"/>
  <c r="C19" i="3"/>
  <c r="S18" i="3"/>
  <c r="P18" i="3"/>
  <c r="Q18" i="3" s="1"/>
  <c r="R18" i="3" s="1"/>
  <c r="T18" i="3" s="1"/>
  <c r="O18" i="3"/>
  <c r="K18" i="3"/>
  <c r="J18" i="3"/>
  <c r="I18" i="3"/>
  <c r="G18" i="3"/>
  <c r="F18" i="3"/>
  <c r="D18" i="3"/>
  <c r="C18" i="3"/>
  <c r="S17" i="3"/>
  <c r="P17" i="3"/>
  <c r="Q17" i="3" s="1"/>
  <c r="R17" i="3" s="1"/>
  <c r="T17" i="3" s="1"/>
  <c r="O17" i="3"/>
  <c r="K17" i="3"/>
  <c r="J17" i="3"/>
  <c r="I17" i="3"/>
  <c r="G17" i="3"/>
  <c r="F17" i="3"/>
  <c r="D17" i="3"/>
  <c r="C17" i="3"/>
  <c r="S16" i="3"/>
  <c r="P16" i="3"/>
  <c r="Q16" i="3" s="1"/>
  <c r="R16" i="3" s="1"/>
  <c r="T16" i="3" s="1"/>
  <c r="O16" i="3"/>
  <c r="K16" i="3"/>
  <c r="J16" i="3"/>
  <c r="I16" i="3"/>
  <c r="G16" i="3"/>
  <c r="F16" i="3"/>
  <c r="D16" i="3"/>
  <c r="C16" i="3"/>
  <c r="S15" i="3"/>
  <c r="P15" i="3"/>
  <c r="Q15" i="3" s="1"/>
  <c r="R15" i="3" s="1"/>
  <c r="T15" i="3" s="1"/>
  <c r="O15" i="3"/>
  <c r="K15" i="3"/>
  <c r="J15" i="3"/>
  <c r="I15" i="3"/>
  <c r="G15" i="3"/>
  <c r="F15" i="3"/>
  <c r="D15" i="3"/>
  <c r="C15" i="3"/>
  <c r="T14" i="3"/>
  <c r="S14" i="3"/>
  <c r="P14" i="3"/>
  <c r="O14" i="3"/>
  <c r="Q14" i="3" s="1"/>
  <c r="R14" i="3" s="1"/>
  <c r="K14" i="3"/>
  <c r="J14" i="3"/>
  <c r="I14" i="3"/>
  <c r="G14" i="3"/>
  <c r="F14" i="3"/>
  <c r="D14" i="3"/>
  <c r="C14" i="3"/>
  <c r="S13" i="3"/>
  <c r="R13" i="3"/>
  <c r="T13" i="3" s="1"/>
  <c r="Q13" i="3"/>
  <c r="P13" i="3"/>
  <c r="O13" i="3"/>
  <c r="K13" i="3"/>
  <c r="J13" i="3"/>
  <c r="I13" i="3"/>
  <c r="G13" i="3"/>
  <c r="F13" i="3"/>
  <c r="D13" i="3"/>
  <c r="C13" i="3"/>
  <c r="S12" i="3"/>
  <c r="P12" i="3"/>
  <c r="Q12" i="3" s="1"/>
  <c r="R12" i="3" s="1"/>
  <c r="T12" i="3" s="1"/>
  <c r="O12" i="3"/>
  <c r="K12" i="3"/>
  <c r="J12" i="3"/>
  <c r="I12" i="3"/>
  <c r="G12" i="3"/>
  <c r="F12" i="3"/>
  <c r="D12" i="3"/>
  <c r="C12" i="3"/>
  <c r="S11" i="3"/>
  <c r="Q11" i="3"/>
  <c r="R11" i="3" s="1"/>
  <c r="T11" i="3" s="1"/>
  <c r="P11" i="3"/>
  <c r="O11" i="3"/>
  <c r="K11" i="3"/>
  <c r="J11" i="3"/>
  <c r="I11" i="3"/>
  <c r="G11" i="3"/>
  <c r="F11" i="3"/>
  <c r="D11" i="3"/>
  <c r="C11" i="3"/>
  <c r="S10" i="3"/>
  <c r="P10" i="3"/>
  <c r="Q10" i="3" s="1"/>
  <c r="R10" i="3" s="1"/>
  <c r="T10" i="3" s="1"/>
  <c r="O10" i="3"/>
  <c r="K10" i="3"/>
  <c r="J10" i="3"/>
  <c r="I10" i="3"/>
  <c r="G10" i="3"/>
  <c r="F10" i="3"/>
  <c r="D10" i="3"/>
  <c r="C10" i="3"/>
  <c r="S9" i="3"/>
  <c r="P9" i="3"/>
  <c r="O9" i="3"/>
  <c r="K9" i="3"/>
  <c r="J9" i="3"/>
  <c r="I9" i="3"/>
  <c r="G9" i="3"/>
  <c r="F9" i="3"/>
  <c r="D9" i="3"/>
  <c r="C9" i="3"/>
  <c r="S8" i="3"/>
  <c r="P8" i="3"/>
  <c r="Q8" i="3" s="1"/>
  <c r="R8" i="3" s="1"/>
  <c r="T8" i="3" s="1"/>
  <c r="O8" i="3"/>
  <c r="K8" i="3"/>
  <c r="J8" i="3"/>
  <c r="I8" i="3"/>
  <c r="G8" i="3"/>
  <c r="F8" i="3"/>
  <c r="D8" i="3"/>
  <c r="C8" i="3"/>
  <c r="S7" i="3"/>
  <c r="Q7" i="3"/>
  <c r="R7" i="3" s="1"/>
  <c r="T7" i="3" s="1"/>
  <c r="P7" i="3"/>
  <c r="O7" i="3"/>
  <c r="K7" i="3"/>
  <c r="J7" i="3"/>
  <c r="I7" i="3"/>
  <c r="G7" i="3"/>
  <c r="F7" i="3"/>
  <c r="D7" i="3"/>
  <c r="C7" i="3"/>
  <c r="S6" i="3"/>
  <c r="P6" i="3"/>
  <c r="O6" i="3"/>
  <c r="Q6" i="3" s="1"/>
  <c r="R6" i="3" s="1"/>
  <c r="T6" i="3" s="1"/>
  <c r="K6" i="3"/>
  <c r="J6" i="3"/>
  <c r="I6" i="3"/>
  <c r="G6" i="3"/>
  <c r="F6" i="3"/>
  <c r="D6" i="3"/>
  <c r="C6" i="3"/>
  <c r="S5" i="3"/>
  <c r="Q5" i="3"/>
  <c r="R5" i="3" s="1"/>
  <c r="T5" i="3" s="1"/>
  <c r="P5" i="3"/>
  <c r="O5" i="3"/>
  <c r="K5" i="3"/>
  <c r="J5" i="3"/>
  <c r="I5" i="3"/>
  <c r="G5" i="3"/>
  <c r="F5" i="3"/>
  <c r="D5" i="3"/>
  <c r="B15" i="4" s="1"/>
  <c r="C5" i="3"/>
  <c r="S4" i="3"/>
  <c r="P4" i="3"/>
  <c r="O4" i="3"/>
  <c r="K4" i="3"/>
  <c r="J4" i="3"/>
  <c r="I4" i="3"/>
  <c r="G4" i="3"/>
  <c r="F4" i="3"/>
  <c r="D4" i="3"/>
  <c r="C4" i="3"/>
  <c r="T3" i="3"/>
  <c r="S3" i="3"/>
  <c r="R3" i="3"/>
  <c r="Q3" i="3"/>
  <c r="P3" i="3"/>
  <c r="O3" i="3"/>
  <c r="K3" i="3"/>
  <c r="J3" i="3"/>
  <c r="I3" i="3"/>
  <c r="G3" i="3"/>
  <c r="D23" i="4" s="1"/>
  <c r="F3" i="3"/>
  <c r="D3" i="3"/>
  <c r="C3" i="3"/>
  <c r="H6" i="2"/>
  <c r="Q20" i="3" l="1"/>
  <c r="R20" i="3" s="1"/>
  <c r="T20" i="3" s="1"/>
  <c r="Q52" i="3"/>
  <c r="R52" i="3" s="1"/>
  <c r="T52" i="3" s="1"/>
  <c r="B13" i="4"/>
  <c r="Q55" i="3"/>
  <c r="R55" i="3" s="1"/>
  <c r="T55" i="3" s="1"/>
  <c r="Q23" i="3"/>
  <c r="R23" i="3" s="1"/>
  <c r="T23" i="3" s="1"/>
  <c r="Q44" i="3"/>
  <c r="R44" i="3" s="1"/>
  <c r="T44" i="3" s="1"/>
  <c r="Q76" i="3"/>
  <c r="R76" i="3" s="1"/>
  <c r="T76" i="3" s="1"/>
  <c r="C38" i="4"/>
  <c r="B38" i="4"/>
  <c r="B36" i="4"/>
  <c r="B34" i="4"/>
  <c r="E34" i="4" s="1"/>
  <c r="B32" i="4"/>
  <c r="B30" i="4"/>
  <c r="B28" i="4"/>
  <c r="C39" i="4"/>
  <c r="D36" i="4"/>
  <c r="B31" i="4"/>
  <c r="D35" i="4"/>
  <c r="D30" i="4"/>
  <c r="B35" i="4"/>
  <c r="E35" i="4" s="1"/>
  <c r="D29" i="4"/>
  <c r="D39" i="4"/>
  <c r="D34" i="4"/>
  <c r="B29" i="4"/>
  <c r="E29" i="4" s="1"/>
  <c r="B39" i="4"/>
  <c r="E39" i="4" s="1"/>
  <c r="D33" i="4"/>
  <c r="D28" i="4"/>
  <c r="D38" i="4"/>
  <c r="B33" i="4"/>
  <c r="E33" i="4" s="1"/>
  <c r="D37" i="4"/>
  <c r="D32" i="4"/>
  <c r="Q36" i="3"/>
  <c r="R36" i="3" s="1"/>
  <c r="T36" i="3" s="1"/>
  <c r="Q68" i="3"/>
  <c r="R68" i="3" s="1"/>
  <c r="T68" i="3" s="1"/>
  <c r="Q83" i="3"/>
  <c r="R83" i="3" s="1"/>
  <c r="T83" i="3" s="1"/>
  <c r="Q86" i="3"/>
  <c r="R86" i="3" s="1"/>
  <c r="T86" i="3" s="1"/>
  <c r="Q39" i="3"/>
  <c r="R39" i="3" s="1"/>
  <c r="T39" i="3" s="1"/>
  <c r="Q71" i="3"/>
  <c r="R71" i="3" s="1"/>
  <c r="T71" i="3" s="1"/>
  <c r="D31" i="4"/>
  <c r="C19" i="4"/>
  <c r="B23" i="4"/>
  <c r="E23" i="4" s="1"/>
  <c r="B21" i="4"/>
  <c r="E21" i="4" s="1"/>
  <c r="B19" i="4"/>
  <c r="D22" i="4"/>
  <c r="B22" i="4"/>
  <c r="E22" i="4" s="1"/>
  <c r="D21" i="4"/>
  <c r="D20" i="4"/>
  <c r="B20" i="4"/>
  <c r="E20" i="4" s="1"/>
  <c r="D24" i="4"/>
  <c r="D19" i="4"/>
  <c r="B24" i="4"/>
  <c r="E24" i="4" s="1"/>
  <c r="Q4" i="3"/>
  <c r="R4" i="3" s="1"/>
  <c r="T4" i="3" s="1"/>
  <c r="Q9" i="3"/>
  <c r="R9" i="3" s="1"/>
  <c r="T9" i="3" s="1"/>
  <c r="Q28" i="3"/>
  <c r="R28" i="3" s="1"/>
  <c r="T28" i="3" s="1"/>
  <c r="Q60" i="3"/>
  <c r="R60" i="3" s="1"/>
  <c r="T60" i="3" s="1"/>
  <c r="B37" i="4"/>
  <c r="Q175" i="3"/>
  <c r="R175" i="3" s="1"/>
  <c r="T175" i="3" s="1"/>
  <c r="D15" i="4"/>
  <c r="E15" i="4" s="1"/>
  <c r="Q215" i="3"/>
  <c r="R215" i="3" s="1"/>
  <c r="T215" i="3" s="1"/>
  <c r="B11" i="4"/>
  <c r="Q95" i="3"/>
  <c r="R95" i="3" s="1"/>
  <c r="T95" i="3" s="1"/>
  <c r="Q143" i="3"/>
  <c r="R143" i="3" s="1"/>
  <c r="T143" i="3" s="1"/>
  <c r="Q147" i="3"/>
  <c r="R147" i="3" s="1"/>
  <c r="T147" i="3" s="1"/>
  <c r="Q191" i="3"/>
  <c r="R191" i="3" s="1"/>
  <c r="T191" i="3" s="1"/>
  <c r="D11" i="4"/>
  <c r="Q135" i="3"/>
  <c r="R135" i="3" s="1"/>
  <c r="T135" i="3" s="1"/>
  <c r="Q139" i="3"/>
  <c r="R139" i="3" s="1"/>
  <c r="T139" i="3" s="1"/>
  <c r="Q167" i="3"/>
  <c r="R167" i="3" s="1"/>
  <c r="T167" i="3" s="1"/>
  <c r="D12" i="4"/>
  <c r="D44" i="4"/>
  <c r="B44" i="4"/>
  <c r="E44" i="4" s="1"/>
  <c r="B42" i="4"/>
  <c r="E42" i="4" s="1"/>
  <c r="D45" i="4"/>
  <c r="C43" i="4"/>
  <c r="B45" i="4"/>
  <c r="A7" i="4"/>
  <c r="K6" i="2" s="1"/>
  <c r="D42" i="4"/>
  <c r="B14" i="4"/>
  <c r="B12" i="4"/>
  <c r="C15" i="4"/>
  <c r="Q87" i="3"/>
  <c r="R87" i="3" s="1"/>
  <c r="T87" i="3" s="1"/>
  <c r="Q119" i="3"/>
  <c r="R119" i="3" s="1"/>
  <c r="T119" i="3" s="1"/>
  <c r="Q123" i="3"/>
  <c r="R123" i="3" s="1"/>
  <c r="T123" i="3" s="1"/>
  <c r="Q183" i="3"/>
  <c r="R183" i="3" s="1"/>
  <c r="T183" i="3" s="1"/>
  <c r="D13" i="4"/>
  <c r="B43" i="4"/>
  <c r="E43" i="4" s="1"/>
  <c r="Q111" i="3"/>
  <c r="R111" i="3" s="1"/>
  <c r="T111" i="3" s="1"/>
  <c r="Q115" i="3"/>
  <c r="R115" i="3" s="1"/>
  <c r="T115" i="3" s="1"/>
  <c r="A5" i="4"/>
  <c r="B6" i="2" s="1"/>
  <c r="D14" i="4"/>
  <c r="D43" i="4"/>
  <c r="C31" i="4" l="1"/>
  <c r="C42" i="4"/>
  <c r="E37" i="4"/>
  <c r="E19" i="4"/>
  <c r="D50" i="4" s="1"/>
  <c r="C50" i="4"/>
  <c r="B50" i="4"/>
  <c r="C35" i="4"/>
  <c r="E38" i="4"/>
  <c r="C12" i="4"/>
  <c r="E7" i="4"/>
  <c r="C44" i="4"/>
  <c r="C37" i="4"/>
  <c r="C28" i="4"/>
  <c r="C11" i="4"/>
  <c r="C13" i="4"/>
  <c r="E45" i="4"/>
  <c r="C30" i="4"/>
  <c r="C7" i="4"/>
  <c r="P6" i="2" s="1"/>
  <c r="E28" i="4"/>
  <c r="C51" i="4"/>
  <c r="B51" i="4"/>
  <c r="C32" i="4"/>
  <c r="E31" i="4"/>
  <c r="E12" i="4"/>
  <c r="C45" i="4"/>
  <c r="C49" i="4"/>
  <c r="B49" i="4"/>
  <c r="E11" i="4"/>
  <c r="C21" i="4"/>
  <c r="E30" i="4"/>
  <c r="C34" i="4"/>
  <c r="E13" i="4"/>
  <c r="E14" i="4"/>
  <c r="C20" i="4"/>
  <c r="C23" i="4"/>
  <c r="C29" i="4"/>
  <c r="E32" i="4"/>
  <c r="C36" i="4"/>
  <c r="C22" i="4"/>
  <c r="C5" i="4"/>
  <c r="E6" i="2" s="1"/>
  <c r="C14" i="4"/>
  <c r="C24" i="4"/>
  <c r="C33" i="4"/>
  <c r="E36" i="4"/>
  <c r="E50" i="4" l="1"/>
  <c r="H9" i="2"/>
  <c r="E51" i="4"/>
  <c r="M9" i="2"/>
  <c r="E49" i="4"/>
  <c r="D9" i="2"/>
  <c r="D51" i="4"/>
  <c r="D49" i="4"/>
</calcChain>
</file>

<file path=xl/sharedStrings.xml><?xml version="1.0" encoding="utf-8"?>
<sst xmlns="http://schemas.openxmlformats.org/spreadsheetml/2006/main" count="2311" uniqueCount="723">
  <si>
    <t>E-COMMERCE SALES DASHBOARD</t>
  </si>
  <si>
    <t>Calendar Year 2024  |  260 unique orders  |  Source: Cleaned_Data</t>
  </si>
  <si>
    <t>TOTAL SALES</t>
  </si>
  <si>
    <t>TOTAL PROFIT</t>
  </si>
  <si>
    <t>TOTAL ORDERS</t>
  </si>
  <si>
    <t>AVG ORDER VALUE</t>
  </si>
  <si>
    <t>PROFIT MARGIN</t>
  </si>
  <si>
    <t>Top Region:</t>
  </si>
  <si>
    <t>Top Category:</t>
  </si>
  <si>
    <t>Top Month:</t>
  </si>
  <si>
    <t>E-COMMERCE SALES ANALYTICS — EXCEL</t>
  </si>
  <si>
    <t>Objective</t>
  </si>
  <si>
    <t>Analyze 2024 e-commerce sales performance across regions, categories and time.</t>
  </si>
  <si>
    <t>Dataset</t>
  </si>
  <si>
    <t xml:space="preserve">260 cleaned order records after data-quality handling </t>
  </si>
  <si>
    <t xml:space="preserve"> (255 dated + 5 valid orders retained with an undated assumption — see Cleaning_Log).</t>
  </si>
  <si>
    <t>Tools</t>
  </si>
  <si>
    <t>Microsoft Excel — formulas (SUMIFS/COUNTIFS/INDEX-MATCH), data cleaning, formula-driven summaries, data visualization.</t>
  </si>
  <si>
    <t>Key</t>
  </si>
  <si>
    <t>Sales, Profit, Profit Margin, AOV, regional performance, category performance, monthly trends, quarterly performance.</t>
  </si>
  <si>
    <t>Data</t>
  </si>
  <si>
    <t xml:space="preserve">Duplicates handled, missing values handled, conflicting OrderIDs </t>
  </si>
  <si>
    <t>documented (Exceptions_Log), missing-date records retained but excluded from time-based analysis.</t>
  </si>
  <si>
    <t>Workbook</t>
  </si>
  <si>
    <t>Dashboard        — headline KPIs, top performers, and 4 charts</t>
  </si>
  <si>
    <t>Analysis             — formula-driven region / category / monthly / quarterly summaries</t>
  </si>
  <si>
    <t>Cleaned_Data         — deduplicated, enriched order-level data (260 rows)</t>
  </si>
  <si>
    <t>Raw_Data             — unprocessed export (duplicates + missing values present)</t>
  </si>
  <si>
    <t>Cleaning_Log         — every cleaning step and the assumption behind it</t>
  </si>
  <si>
    <t>Exceptions_Log       — conflicting duplicate OrderIDs and how they were resolved</t>
  </si>
  <si>
    <t>Customers, Products  — lookup/reference tables</t>
  </si>
  <si>
    <t>CLEANED &amp; ENRICHED ORDER DATA</t>
  </si>
  <si>
    <t>OrderID</t>
  </si>
  <si>
    <t>CustomerID</t>
  </si>
  <si>
    <t>CustomerName</t>
  </si>
  <si>
    <t>Region</t>
  </si>
  <si>
    <t>ProductID</t>
  </si>
  <si>
    <t>ProductName</t>
  </si>
  <si>
    <t>Category</t>
  </si>
  <si>
    <t>OrderDate</t>
  </si>
  <si>
    <t>Month</t>
  </si>
  <si>
    <t>MonthName</t>
  </si>
  <si>
    <t>Quarter</t>
  </si>
  <si>
    <t>Quantity</t>
  </si>
  <si>
    <t>UnitPrice</t>
  </si>
  <si>
    <t>Discount</t>
  </si>
  <si>
    <t>CostPrice</t>
  </si>
  <si>
    <t>Sales</t>
  </si>
  <si>
    <t>Profit</t>
  </si>
  <si>
    <t>Profit Margin %</t>
  </si>
  <si>
    <t>Order Type</t>
  </si>
  <si>
    <t>Profit Tier</t>
  </si>
  <si>
    <t>ORD1044</t>
  </si>
  <si>
    <t>CUST009</t>
  </si>
  <si>
    <t>PROD002</t>
  </si>
  <si>
    <t>ORD1035</t>
  </si>
  <si>
    <t>CUST030</t>
  </si>
  <si>
    <t>PROD003</t>
  </si>
  <si>
    <t>ORD1039</t>
  </si>
  <si>
    <t>CUST021</t>
  </si>
  <si>
    <t>PROD017</t>
  </si>
  <si>
    <t>ORD1124</t>
  </si>
  <si>
    <t>CUST016</t>
  </si>
  <si>
    <t>PROD004</t>
  </si>
  <si>
    <t>ORD1213</t>
  </si>
  <si>
    <t>CUST001</t>
  </si>
  <si>
    <t>PROD005</t>
  </si>
  <si>
    <t>ORD1214</t>
  </si>
  <si>
    <t>CUST019</t>
  </si>
  <si>
    <t>PROD011</t>
  </si>
  <si>
    <t>ORD1096</t>
  </si>
  <si>
    <t>CUST007</t>
  </si>
  <si>
    <t>PROD027</t>
  </si>
  <si>
    <t>ORD1208</t>
  </si>
  <si>
    <t>PROD020</t>
  </si>
  <si>
    <t>ORD1088</t>
  </si>
  <si>
    <t>CUST014</t>
  </si>
  <si>
    <t>PROD016</t>
  </si>
  <si>
    <t>ORD1175</t>
  </si>
  <si>
    <t>CUST010</t>
  </si>
  <si>
    <t>PROD029</t>
  </si>
  <si>
    <t>ORD1204</t>
  </si>
  <si>
    <t>PROD009</t>
  </si>
  <si>
    <t>ORD1200</t>
  </si>
  <si>
    <t>CUST005</t>
  </si>
  <si>
    <t>ORD1048</t>
  </si>
  <si>
    <t>PROD012</t>
  </si>
  <si>
    <t>ORD1022</t>
  </si>
  <si>
    <t>CUST018</t>
  </si>
  <si>
    <t>ORD1186</t>
  </si>
  <si>
    <t>CUST025</t>
  </si>
  <si>
    <t>PROD024</t>
  </si>
  <si>
    <t>ORD1043</t>
  </si>
  <si>
    <t>CUST029</t>
  </si>
  <si>
    <t>PROD030</t>
  </si>
  <si>
    <t>ORD1125</t>
  </si>
  <si>
    <t>CUST011</t>
  </si>
  <si>
    <t>PROD006</t>
  </si>
  <si>
    <t>ORD1127</t>
  </si>
  <si>
    <t>PROD022</t>
  </si>
  <si>
    <t>ORD1024</t>
  </si>
  <si>
    <t>CUST028</t>
  </si>
  <si>
    <t>PROD013</t>
  </si>
  <si>
    <t>ORD1084</t>
  </si>
  <si>
    <t>CUST015</t>
  </si>
  <si>
    <t>PROD014</t>
  </si>
  <si>
    <t>ORD1083</t>
  </si>
  <si>
    <t>CUST023</t>
  </si>
  <si>
    <t>PROD007</t>
  </si>
  <si>
    <t>ORD1126</t>
  </si>
  <si>
    <t>CUST004</t>
  </si>
  <si>
    <t>ORD1220</t>
  </si>
  <si>
    <t>CUST020</t>
  </si>
  <si>
    <t>ORD1037</t>
  </si>
  <si>
    <t>ORD1056</t>
  </si>
  <si>
    <t>ORD1095</t>
  </si>
  <si>
    <t>CUST008</t>
  </si>
  <si>
    <t>PROD021</t>
  </si>
  <si>
    <t>ORD1021</t>
  </si>
  <si>
    <t>ORD1006</t>
  </si>
  <si>
    <t>PROD019</t>
  </si>
  <si>
    <t>ORD1239</t>
  </si>
  <si>
    <t>ORD1190</t>
  </si>
  <si>
    <t>CUST024</t>
  </si>
  <si>
    <t>ORD1195</t>
  </si>
  <si>
    <t>ORD1237</t>
  </si>
  <si>
    <t>PROD001</t>
  </si>
  <si>
    <t>ORD1155</t>
  </si>
  <si>
    <t>ORD1227</t>
  </si>
  <si>
    <t>CUST003</t>
  </si>
  <si>
    <t>ORD1074</t>
  </si>
  <si>
    <t>PROD025</t>
  </si>
  <si>
    <t>ORD1183</t>
  </si>
  <si>
    <t>ORD1252</t>
  </si>
  <si>
    <t>ORD1019</t>
  </si>
  <si>
    <t>PROD026</t>
  </si>
  <si>
    <t>ORD1197</t>
  </si>
  <si>
    <t>ORD1001</t>
  </si>
  <si>
    <t>ORD1242</t>
  </si>
  <si>
    <t>ORD1149</t>
  </si>
  <si>
    <t>ORD1122</t>
  </si>
  <si>
    <t>PROD018</t>
  </si>
  <si>
    <t>ORD1015</t>
  </si>
  <si>
    <t>ORD1191</t>
  </si>
  <si>
    <t>CUST006</t>
  </si>
  <si>
    <t>ORD1076</t>
  </si>
  <si>
    <t>PROD015</t>
  </si>
  <si>
    <t>ORD1245</t>
  </si>
  <si>
    <t>ORD1211</t>
  </si>
  <si>
    <t>ORD1256</t>
  </si>
  <si>
    <t>ORD1137</t>
  </si>
  <si>
    <t>ORD1082</t>
  </si>
  <si>
    <t>ORD1166</t>
  </si>
  <si>
    <t>CUST027</t>
  </si>
  <si>
    <t>ORD1106</t>
  </si>
  <si>
    <t>PROD023</t>
  </si>
  <si>
    <t>ORD1169</t>
  </si>
  <si>
    <t>ORD1231</t>
  </si>
  <si>
    <t>CUST017</t>
  </si>
  <si>
    <t>ORD1078</t>
  </si>
  <si>
    <t>ORD1089</t>
  </si>
  <si>
    <t>CUST026</t>
  </si>
  <si>
    <t>ORD1023</t>
  </si>
  <si>
    <t>PROD008</t>
  </si>
  <si>
    <t>ORD1098</t>
  </si>
  <si>
    <t>ORD1254</t>
  </si>
  <si>
    <t>ORD1133</t>
  </si>
  <si>
    <t>ORD1065</t>
  </si>
  <si>
    <t>CUST013</t>
  </si>
  <si>
    <t>ORD1058</t>
  </si>
  <si>
    <t>ORD1111</t>
  </si>
  <si>
    <t>ORD1029</t>
  </si>
  <si>
    <t>PROD028</t>
  </si>
  <si>
    <t>ORD1016</t>
  </si>
  <si>
    <t>ORD1255</t>
  </si>
  <si>
    <t>ORD1132</t>
  </si>
  <si>
    <t>ORD1115</t>
  </si>
  <si>
    <t>PROD010</t>
  </si>
  <si>
    <t>ORD1055</t>
  </si>
  <si>
    <t>ORD1011</t>
  </si>
  <si>
    <t>ORD1194</t>
  </si>
  <si>
    <t>ORD1121</t>
  </si>
  <si>
    <t>ORD1013</t>
  </si>
  <si>
    <t>ORD1187</t>
  </si>
  <si>
    <t>ORD1164</t>
  </si>
  <si>
    <t>ORD1050</t>
  </si>
  <si>
    <t>ORD1080</t>
  </si>
  <si>
    <t>ORD1154</t>
  </si>
  <si>
    <t>ORD1113</t>
  </si>
  <si>
    <t>ORD1073</t>
  </si>
  <si>
    <t>ORD1071</t>
  </si>
  <si>
    <t>ORD1128</t>
  </si>
  <si>
    <t>ORD1118</t>
  </si>
  <si>
    <t>ORD1212</t>
  </si>
  <si>
    <t>ORD1192</t>
  </si>
  <si>
    <t>ORD1002</t>
  </si>
  <si>
    <t>ORD1008</t>
  </si>
  <si>
    <t>ORD1040</t>
  </si>
  <si>
    <t>ORD1152</t>
  </si>
  <si>
    <t>CUST002</t>
  </si>
  <si>
    <t>ORD1234</t>
  </si>
  <si>
    <t>ORD1108</t>
  </si>
  <si>
    <t>ORD1041</t>
  </si>
  <si>
    <t>ORD1081</t>
  </si>
  <si>
    <t>ORD1185</t>
  </si>
  <si>
    <t>CUST022</t>
  </si>
  <si>
    <t>ORD1109</t>
  </si>
  <si>
    <t>ORD1112</t>
  </si>
  <si>
    <t>ORD1135</t>
  </si>
  <si>
    <t>ORD1066</t>
  </si>
  <si>
    <t>ORD1173</t>
  </si>
  <si>
    <t>ORD1250</t>
  </si>
  <si>
    <t>ORD1064</t>
  </si>
  <si>
    <t>ORD1003</t>
  </si>
  <si>
    <t>ORD1034</t>
  </si>
  <si>
    <t>ORD1063</t>
  </si>
  <si>
    <t>ORD1138</t>
  </si>
  <si>
    <t>ORD1070</t>
  </si>
  <si>
    <t>ORD1189</t>
  </si>
  <si>
    <t>ORD1033</t>
  </si>
  <si>
    <t>ORD1059</t>
  </si>
  <si>
    <t>ORD1067</t>
  </si>
  <si>
    <t>ORD1163</t>
  </si>
  <si>
    <t>ORD1198</t>
  </si>
  <si>
    <t>ORD1062</t>
  </si>
  <si>
    <t>ORD1167</t>
  </si>
  <si>
    <t>ORD1146</t>
  </si>
  <si>
    <t>CUST012</t>
  </si>
  <si>
    <t>ORD1193</t>
  </si>
  <si>
    <t>ORD1235</t>
  </si>
  <si>
    <t>ORD1104</t>
  </si>
  <si>
    <t>ORD1160</t>
  </si>
  <si>
    <t>ORD1162</t>
  </si>
  <si>
    <t>ORD1181</t>
  </si>
  <si>
    <t>ORD1103</t>
  </si>
  <si>
    <t>ORD1049</t>
  </si>
  <si>
    <t>ORD1005</t>
  </si>
  <si>
    <t>ORD1205</t>
  </si>
  <si>
    <t>ORD1216</t>
  </si>
  <si>
    <t>ORD1116</t>
  </si>
  <si>
    <t>ORD1196</t>
  </si>
  <si>
    <t>ORD1238</t>
  </si>
  <si>
    <t>ORD1010</t>
  </si>
  <si>
    <t>ORD1176</t>
  </si>
  <si>
    <t>ORD1100</t>
  </si>
  <si>
    <t>ORD1053</t>
  </si>
  <si>
    <t>ORD1178</t>
  </si>
  <si>
    <t>ORD1090</t>
  </si>
  <si>
    <t>ORD1244</t>
  </si>
  <si>
    <t>ORD1253</t>
  </si>
  <si>
    <t>ORD1218</t>
  </si>
  <si>
    <t>ORD1030</t>
  </si>
  <si>
    <t>ORD1017</t>
  </si>
  <si>
    <t>ORD1052</t>
  </si>
  <si>
    <t>ORD1147</t>
  </si>
  <si>
    <t>ORD1051</t>
  </si>
  <si>
    <t>ORD1072</t>
  </si>
  <si>
    <t>ORD1203</t>
  </si>
  <si>
    <t>ORD1087</t>
  </si>
  <si>
    <t>ORD1093</t>
  </si>
  <si>
    <t>ORD1020</t>
  </si>
  <si>
    <t>ORD1233</t>
  </si>
  <si>
    <t>ORD1246</t>
  </si>
  <si>
    <t>ORD1105</t>
  </si>
  <si>
    <t>ORD1248</t>
  </si>
  <si>
    <t>ORD1140</t>
  </si>
  <si>
    <t>ORD1260</t>
  </si>
  <si>
    <t>ORD1045</t>
  </si>
  <si>
    <t>ORD1077</t>
  </si>
  <si>
    <t>ORD1130</t>
  </si>
  <si>
    <t>ORD1219</t>
  </si>
  <si>
    <t>ORD1259</t>
  </si>
  <si>
    <t>ORD1025</t>
  </si>
  <si>
    <t>ORD1092</t>
  </si>
  <si>
    <t>ORD1207</t>
  </si>
  <si>
    <t>ORD1222</t>
  </si>
  <si>
    <t>ORD1224</t>
  </si>
  <si>
    <t>ORD1158</t>
  </si>
  <si>
    <t>ORD1168</t>
  </si>
  <si>
    <t>ORD1182</t>
  </si>
  <si>
    <t>ORD1054</t>
  </si>
  <si>
    <t>ORD1091</t>
  </si>
  <si>
    <t>ORD1179</t>
  </si>
  <si>
    <t>ORD1075</t>
  </si>
  <si>
    <t>ORD1180</t>
  </si>
  <si>
    <t>ORD1068</t>
  </si>
  <si>
    <t>ORD1226</t>
  </si>
  <si>
    <t>ORD1114</t>
  </si>
  <si>
    <t>ORD1028</t>
  </si>
  <si>
    <t>ORD1086</t>
  </si>
  <si>
    <t>ORD1153</t>
  </si>
  <si>
    <t>ORD1172</t>
  </si>
  <si>
    <t>ORD1247</t>
  </si>
  <si>
    <t>ORD1014</t>
  </si>
  <si>
    <t>ORD1061</t>
  </si>
  <si>
    <t>ORD1215</t>
  </si>
  <si>
    <t>ORD1004</t>
  </si>
  <si>
    <t>ORD1007</t>
  </si>
  <si>
    <t>ORD1057</t>
  </si>
  <si>
    <t>ORD1119</t>
  </si>
  <si>
    <t>ORD1036</t>
  </si>
  <si>
    <t>ORD1201</t>
  </si>
  <si>
    <t>ORD1094</t>
  </si>
  <si>
    <t>ORD1150</t>
  </si>
  <si>
    <t>ORD1038</t>
  </si>
  <si>
    <t>ORD1117</t>
  </si>
  <si>
    <t>ORD1148</t>
  </si>
  <si>
    <t>ORD1232</t>
  </si>
  <si>
    <t>ORD1228</t>
  </si>
  <si>
    <t>ORD1097</t>
  </si>
  <si>
    <t>ORD1209</t>
  </si>
  <si>
    <t>ORD1142</t>
  </si>
  <si>
    <t>ORD1249</t>
  </si>
  <si>
    <t>ORD1060</t>
  </si>
  <si>
    <t>ORD1143</t>
  </si>
  <si>
    <t>ORD1027</t>
  </si>
  <si>
    <t>ORD1099</t>
  </si>
  <si>
    <t>ORD1085</t>
  </si>
  <si>
    <t>ORD1161</t>
  </si>
  <si>
    <t>ORD1210</t>
  </si>
  <si>
    <t>ORD1012</t>
  </si>
  <si>
    <t>ORD1120</t>
  </si>
  <si>
    <t>ORD1243</t>
  </si>
  <si>
    <t>ORD1031</t>
  </si>
  <si>
    <t>ORD1134</t>
  </si>
  <si>
    <t>ORD1230</t>
  </si>
  <si>
    <t>ORD1257</t>
  </si>
  <si>
    <t>ORD1141</t>
  </si>
  <si>
    <t>ORD1241</t>
  </si>
  <si>
    <t>ORD1107</t>
  </si>
  <si>
    <t>ORD1129</t>
  </si>
  <si>
    <t>ORD1251</t>
  </si>
  <si>
    <t>ORD1131</t>
  </si>
  <si>
    <t>ORD1151</t>
  </si>
  <si>
    <t>ORD1136</t>
  </si>
  <si>
    <t>ORD1258</t>
  </si>
  <si>
    <t>ORD1069</t>
  </si>
  <si>
    <t>ORD1174</t>
  </si>
  <si>
    <t>ORD1145</t>
  </si>
  <si>
    <t>ORD1079</t>
  </si>
  <si>
    <t>ORD1018</t>
  </si>
  <si>
    <t>ORD1206</t>
  </si>
  <si>
    <t>ORD1156</t>
  </si>
  <si>
    <t>ORD1144</t>
  </si>
  <si>
    <t>ORD1223</t>
  </si>
  <si>
    <t>ORD1236</t>
  </si>
  <si>
    <t>ORD1217</t>
  </si>
  <si>
    <t>ORD1026</t>
  </si>
  <si>
    <t>ORD1229</t>
  </si>
  <si>
    <t>ORD1110</t>
  </si>
  <si>
    <t>ORD1171</t>
  </si>
  <si>
    <t>ORD1240</t>
  </si>
  <si>
    <t>ORD1188</t>
  </si>
  <si>
    <t>ORD1177</t>
  </si>
  <si>
    <t>ORD1102</t>
  </si>
  <si>
    <t>ORD1042</t>
  </si>
  <si>
    <t>ORD1009</t>
  </si>
  <si>
    <t>ORD1046</t>
  </si>
  <si>
    <t>ORD1101</t>
  </si>
  <si>
    <t>ORD1170</t>
  </si>
  <si>
    <t>ORD1202</t>
  </si>
  <si>
    <t>ORD1123</t>
  </si>
  <si>
    <t>ORD1139</t>
  </si>
  <si>
    <t>ORD1184</t>
  </si>
  <si>
    <t>ORD1199</t>
  </si>
  <si>
    <t>ORD1157</t>
  </si>
  <si>
    <t>ORD1221</t>
  </si>
  <si>
    <t>ORD1225</t>
  </si>
  <si>
    <t>ORD1032</t>
  </si>
  <si>
    <t>ORD1165</t>
  </si>
  <si>
    <t>ORD1047</t>
  </si>
  <si>
    <t>ORD1159</t>
  </si>
  <si>
    <t>SALES ANALYSIS</t>
  </si>
  <si>
    <t>Formula-driven summaries built with SUMIFS and COUNTIFS from Cleaned_Data.</t>
  </si>
  <si>
    <t>KEY PERFORMANCE INDICATORS</t>
  </si>
  <si>
    <t>Total Sales</t>
  </si>
  <si>
    <t>Total Profit</t>
  </si>
  <si>
    <t>Total Orders</t>
  </si>
  <si>
    <t>Avg Order Value</t>
  </si>
  <si>
    <t>Overall Profit Margin %</t>
  </si>
  <si>
    <t>Avg Profit per Order</t>
  </si>
  <si>
    <t>REGION-WISE SUMMARY</t>
  </si>
  <si>
    <t>Order Count</t>
  </si>
  <si>
    <t>North</t>
  </si>
  <si>
    <t>Central</t>
  </si>
  <si>
    <t>East</t>
  </si>
  <si>
    <t>South</t>
  </si>
  <si>
    <t>West</t>
  </si>
  <si>
    <t>CATEGORY-WISE SUMMARY</t>
  </si>
  <si>
    <t>Beauty</t>
  </si>
  <si>
    <t>Apparel</t>
  </si>
  <si>
    <t>Electronics</t>
  </si>
  <si>
    <t>Home &amp; Kitchen</t>
  </si>
  <si>
    <t>Books</t>
  </si>
  <si>
    <t>Sports</t>
  </si>
  <si>
    <t>MONTHLY SUMMARY (2024)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</si>
  <si>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</si>
  <si>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</si>
  <si>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</si>
  <si>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</si>
  <si>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</si>
  <si>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</si>
  <si>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</si>
  <si>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</si>
  <si>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</si>
  <si>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</si>
  <si>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</si>
  <si>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</si>
  <si>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QUARTERLY SUMMARY (2024)</t>
  </si>
  <si>
    <t>Q1</t>
  </si>
  <si>
    <t>Q2</t>
  </si>
  <si>
    <t>Q3</t>
  </si>
  <si>
    <t>Q4</t>
  </si>
  <si>
    <t>TOP PERFORMERS</t>
  </si>
  <si>
    <t>Metric</t>
  </si>
  <si>
    <t>Top Performer</t>
  </si>
  <si>
    <t>Top Region by Sales</t>
  </si>
  <si>
    <t>Top Category by Sales</t>
  </si>
  <si>
    <t>Top Month by Sales</t>
  </si>
  <si>
    <t>RAW ORDER EXPORT — unprocessed (duplicates + missing values present)</t>
  </si>
  <si>
    <t>2024-11-22</t>
  </si>
  <si>
    <t>2024-02-03</t>
  </si>
  <si>
    <t>2024-12-30</t>
  </si>
  <si>
    <t>2024-11-21</t>
  </si>
  <si>
    <t>2024-07-04</t>
  </si>
  <si>
    <t>2024-04-07</t>
  </si>
  <si>
    <t>2024-12-24</t>
  </si>
  <si>
    <t>2024-06-30</t>
  </si>
  <si>
    <t>2024-08-20</t>
  </si>
  <si>
    <t>2024-01-15</t>
  </si>
  <si>
    <t>2024-08-14</t>
  </si>
  <si>
    <t>2024-07-25</t>
  </si>
  <si>
    <t>hb</t>
  </si>
  <si>
    <t>2024-06-22</t>
  </si>
  <si>
    <t>2024-10-28</t>
  </si>
  <si>
    <t>2024-05-16</t>
  </si>
  <si>
    <t>2024-11-20</t>
  </si>
  <si>
    <t>2024-01-05</t>
  </si>
  <si>
    <t>2024-02-01</t>
  </si>
  <si>
    <t>2024-02-16</t>
  </si>
  <si>
    <t>2024-03-27</t>
  </si>
  <si>
    <t>2024-12-23</t>
  </si>
  <si>
    <t>2024-11-17</t>
  </si>
  <si>
    <t>2024-03-08</t>
  </si>
  <si>
    <t>2024-09-13</t>
  </si>
  <si>
    <t>2024-06-13</t>
  </si>
  <si>
    <t>2024-03-25</t>
  </si>
  <si>
    <t>2024-03-05</t>
  </si>
  <si>
    <t>2024-06-26</t>
  </si>
  <si>
    <t>2024-06-25</t>
  </si>
  <si>
    <t>2024-11-27</t>
  </si>
  <si>
    <t>2024-06-02</t>
  </si>
  <si>
    <t>2024-07-24</t>
  </si>
  <si>
    <t>2024-03-09</t>
  </si>
  <si>
    <t>2024-08-13</t>
  </si>
  <si>
    <t>2024-08-12</t>
  </si>
  <si>
    <t>2024-07-31</t>
  </si>
  <si>
    <t>2024-04-24</t>
  </si>
  <si>
    <t>2024-07-14</t>
  </si>
  <si>
    <t>2024-08-02</t>
  </si>
  <si>
    <t>2024-11-29</t>
  </si>
  <si>
    <t>2024-11-06</t>
  </si>
  <si>
    <t>2024-12-11</t>
  </si>
  <si>
    <t>2024-05-31</t>
  </si>
  <si>
    <t>2024-06-06</t>
  </si>
  <si>
    <t>2024-03-11</t>
  </si>
  <si>
    <t>2024-09-01</t>
  </si>
  <si>
    <t>2024-11-14</t>
  </si>
  <si>
    <t>2024-11-26</t>
  </si>
  <si>
    <t>2024-12-20</t>
  </si>
  <si>
    <t>2024-03-20</t>
  </si>
  <si>
    <t>2024-09-28</t>
  </si>
  <si>
    <t>2024-08-26</t>
  </si>
  <si>
    <t>2024-04-09</t>
  </si>
  <si>
    <t>2024-06-23</t>
  </si>
  <si>
    <t>2024-02-25</t>
  </si>
  <si>
    <t>2024-08-09</t>
  </si>
  <si>
    <t>2024-11-13</t>
  </si>
  <si>
    <t>2024-07-30</t>
  </si>
  <si>
    <t>2024-05-02</t>
  </si>
  <si>
    <t>2024-07-21</t>
  </si>
  <si>
    <t>2024-05-19</t>
  </si>
  <si>
    <t>2024-01-28</t>
  </si>
  <si>
    <t>2024-08-21</t>
  </si>
  <si>
    <t>2024-12-01</t>
  </si>
  <si>
    <t>2024-10-04</t>
  </si>
  <si>
    <t>2024-06-09</t>
  </si>
  <si>
    <t>2024-07-11</t>
  </si>
  <si>
    <t>2024-12-15</t>
  </si>
  <si>
    <t>2024-01-27</t>
  </si>
  <si>
    <t>2024-08-15</t>
  </si>
  <si>
    <t>2024-02-19</t>
  </si>
  <si>
    <t>2024-10-14</t>
  </si>
  <si>
    <t>2024-03-26</t>
  </si>
  <si>
    <t>2024-02-02</t>
  </si>
  <si>
    <t>2024-01-02</t>
  </si>
  <si>
    <t>2024-10-08</t>
  </si>
  <si>
    <t>2024-10-23</t>
  </si>
  <si>
    <t>2024-02-29</t>
  </si>
  <si>
    <t>2024-05-24</t>
  </si>
  <si>
    <t>2024-08-24</t>
  </si>
  <si>
    <t>2024-10-26</t>
  </si>
  <si>
    <t>2024-02-13</t>
  </si>
  <si>
    <t>2024-10-31</t>
  </si>
  <si>
    <t>2024-09-26</t>
  </si>
  <si>
    <t>2024-12-19</t>
  </si>
  <si>
    <t>2024-06-16</t>
  </si>
  <si>
    <t>2024-09-06</t>
  </si>
  <si>
    <t>2024-02-08</t>
  </si>
  <si>
    <t>2024-04-03</t>
  </si>
  <si>
    <t>2024-02-10</t>
  </si>
  <si>
    <t>2024-06-19</t>
  </si>
  <si>
    <t>2024-06-01</t>
  </si>
  <si>
    <t>2024-07-07</t>
  </si>
  <si>
    <t>2024-12-27</t>
  </si>
  <si>
    <t>2024-11-12</t>
  </si>
  <si>
    <t>2024-03-16</t>
  </si>
  <si>
    <t>2024-04-25</t>
  </si>
  <si>
    <t>2024-05-08</t>
  </si>
  <si>
    <t>2024-03-18</t>
  </si>
  <si>
    <t>2024-08-23</t>
  </si>
  <si>
    <t>2024-07-20</t>
  </si>
  <si>
    <t>2024-02-27</t>
  </si>
  <si>
    <t>2024-08-25</t>
  </si>
  <si>
    <t>2024-02-05</t>
  </si>
  <si>
    <t>2024-08-11</t>
  </si>
  <si>
    <t>2024-12-13</t>
  </si>
  <si>
    <t>2024-05-07</t>
  </si>
  <si>
    <t>2024-07-29</t>
  </si>
  <si>
    <t>2024-08-30</t>
  </si>
  <si>
    <t>2024-04-27</t>
  </si>
  <si>
    <t>2024-03-22</t>
  </si>
  <si>
    <t>2024-04-05</t>
  </si>
  <si>
    <t>2024-05-22</t>
  </si>
  <si>
    <t>2024-10-16</t>
  </si>
  <si>
    <t>2024-11-05</t>
  </si>
  <si>
    <t>2024-11-04</t>
  </si>
  <si>
    <t>2024-05-14</t>
  </si>
  <si>
    <t>2024-12-06</t>
  </si>
  <si>
    <t>2024-10-27</t>
  </si>
  <si>
    <t>2024-04-29</t>
  </si>
  <si>
    <t>2024-02-24</t>
  </si>
  <si>
    <t>2024-01-17</t>
  </si>
  <si>
    <t>2024-06-18</t>
  </si>
  <si>
    <t>2024-12-04</t>
  </si>
  <si>
    <t>2024-05-15</t>
  </si>
  <si>
    <t>2024-04-01</t>
  </si>
  <si>
    <t>2024-07-10</t>
  </si>
  <si>
    <t>2024-12-02</t>
  </si>
  <si>
    <t>2024-12-16</t>
  </si>
  <si>
    <t>2024-12-22</t>
  </si>
  <si>
    <t>2024-11-11</t>
  </si>
  <si>
    <t>2024-09-29</t>
  </si>
  <si>
    <t>2024-06-07</t>
  </si>
  <si>
    <t>2024-10-01</t>
  </si>
  <si>
    <t>2024-01-31</t>
  </si>
  <si>
    <t>2024-05-23</t>
  </si>
  <si>
    <t>2024-10-05</t>
  </si>
  <si>
    <t>2024-04-16</t>
  </si>
  <si>
    <t>2024-01-26</t>
  </si>
  <si>
    <t>2024-05-28</t>
  </si>
  <si>
    <t>2024-03-29</t>
  </si>
  <si>
    <t>2024-10-21</t>
  </si>
  <si>
    <t>2024-01-11</t>
  </si>
  <si>
    <t>2024-01-07</t>
  </si>
  <si>
    <t>2024-09-20</t>
  </si>
  <si>
    <t>2024-03-30</t>
  </si>
  <si>
    <t>2024-10-02</t>
  </si>
  <si>
    <t>2024-02-17</t>
  </si>
  <si>
    <t>2024-08-17</t>
  </si>
  <si>
    <t>2024-05-17</t>
  </si>
  <si>
    <t>2024-11-16</t>
  </si>
  <si>
    <t>2024-01-20</t>
  </si>
  <si>
    <t>2024-08-07</t>
  </si>
  <si>
    <t>2024-02-28</t>
  </si>
  <si>
    <t>2024-07-08</t>
  </si>
  <si>
    <t>2024-05-01</t>
  </si>
  <si>
    <t>2024-01-09</t>
  </si>
  <si>
    <t>2024-04-26</t>
  </si>
  <si>
    <t>2024-11-03</t>
  </si>
  <si>
    <t>2024-08-08</t>
  </si>
  <si>
    <t>2024-03-17</t>
  </si>
  <si>
    <t>2024-10-22</t>
  </si>
  <si>
    <t>2024-04-23</t>
  </si>
  <si>
    <t>2024-05-11</t>
  </si>
  <si>
    <t>2024-05-04</t>
  </si>
  <si>
    <t>2024-08-31</t>
  </si>
  <si>
    <t>2024-09-23</t>
  </si>
  <si>
    <t>2024-10-30</t>
  </si>
  <si>
    <t>2024-10-03</t>
  </si>
  <si>
    <t>2024-03-19</t>
  </si>
  <si>
    <t>2024-05-03</t>
  </si>
  <si>
    <t>2024-05-20</t>
  </si>
  <si>
    <t>2024-10-11</t>
  </si>
  <si>
    <t>2024-01-08</t>
  </si>
  <si>
    <t>2024-12-17</t>
  </si>
  <si>
    <t>2024-10-15</t>
  </si>
  <si>
    <t>2024-09-05</t>
  </si>
  <si>
    <t>2024-05-27</t>
  </si>
  <si>
    <t>2024-08-04</t>
  </si>
  <si>
    <t>2024-05-05</t>
  </si>
  <si>
    <t>2024-12-08</t>
  </si>
  <si>
    <t>2024-08-03</t>
  </si>
  <si>
    <t>2024-12-03</t>
  </si>
  <si>
    <t>2024-01-21</t>
  </si>
  <si>
    <t>2024-05-26</t>
  </si>
  <si>
    <t>Legend</t>
  </si>
  <si>
    <t>Yellow = duplicate OrderID</t>
  </si>
  <si>
    <t>Red = missing OrderDate (row)</t>
  </si>
  <si>
    <t>DATA CLEANING LOG</t>
  </si>
  <si>
    <t>Documents every cleaning step applied to Raw_Data to produce Cleaned_Data, and the assumption behind each fix.</t>
  </si>
  <si>
    <t>Step</t>
  </si>
  <si>
    <t>Records Affected</t>
  </si>
  <si>
    <t>Action</t>
  </si>
  <si>
    <t>Assumption / Rule Applied</t>
  </si>
  <si>
    <t>Raw rows loaded</t>
  </si>
  <si>
    <t>Starting point</t>
  </si>
  <si>
    <t>Direct export from source system.</t>
  </si>
  <si>
    <t>Exact duplicate rows removed</t>
  </si>
  <si>
    <t>Removed</t>
  </si>
  <si>
    <t>Fully identical rows are re-exports of the same order; safe to drop.</t>
  </si>
  <si>
    <t>Duplicate OrderID conflicts resolved</t>
  </si>
  <si>
    <t>Retained with assumption</t>
  </si>
  <si>
    <t>Conflicting duplicate OrderID identified; first source occurrence retained as an explicit assumption because no reliable precedence field (timestamp/status/version) was available. See Exceptions_Log for the full list.</t>
  </si>
  <si>
    <t>Rows with missing OrderDate</t>
  </si>
  <si>
    <t>OrderDate can't be reliably guessed. These 5 valid orders are retained in Cleaned_Data with OrderDate/Month/Quarter left blank, so their Sales and Profit still count toward totals; they are simply excluded from monthly/quarterly trend views.</t>
  </si>
  <si>
    <t>Missing Quantity filled with dataset median (5)</t>
  </si>
  <si>
    <t>Imputed</t>
  </si>
  <si>
    <t>Median is robust to outliers vs. mean; used as best estimate for a missing quantity.</t>
  </si>
  <si>
    <t>Missing UnitPrice filled with same-product median (fallback: overall median)</t>
  </si>
  <si>
    <t>Same product usually sells near a consistent price; overall median used only if no other price exists for that product.</t>
  </si>
  <si>
    <t>Missing Discount filled with 0 (assumption: no discount recorded)</t>
  </si>
  <si>
    <t>Blank discount is treated as 'no discount applied' rather than unknown.</t>
  </si>
  <si>
    <t>Final cleaned rows</t>
  </si>
  <si>
    <t>Result</t>
  </si>
  <si>
    <t>Rows remaining in Cleaned_Data after all steps above (255 dated + 5 undated, valid orders).</t>
  </si>
  <si>
    <t>EXCEPTIONS LOG — CONFLICTING DUPLICATE ORDER IDS</t>
  </si>
  <si>
    <t>Conflicting duplicate OrderIDs resolved by assuming the first entry as valid, pending verification.</t>
  </si>
  <si>
    <t>Issue</t>
  </si>
  <si>
    <t>Conflicting Values</t>
  </si>
  <si>
    <t>Reason</t>
  </si>
  <si>
    <t>Conflicting duplicate</t>
  </si>
  <si>
    <t>Quantity: 5 (first) vs 3 (second)</t>
  </si>
  <si>
    <t>First occurrence retained</t>
  </si>
  <si>
    <t>No reliable precedence field available</t>
  </si>
  <si>
    <t>Quantity: 5 (first) vs 8 (second)</t>
  </si>
  <si>
    <t>Quantity: 2 (first) vs 5 (second)</t>
  </si>
  <si>
    <t>Quantity: 7 (first) vs 5 (second)</t>
  </si>
  <si>
    <t>Quantity: 6 (first) vs 1 (second)</t>
  </si>
  <si>
    <t>Quantity: 5 (first) vs 7 (second)</t>
  </si>
  <si>
    <t>City</t>
  </si>
  <si>
    <t>Sana Singh</t>
  </si>
  <si>
    <t>Delhi</t>
  </si>
  <si>
    <t>Sai Kapoor</t>
  </si>
  <si>
    <t>Bengaluru</t>
  </si>
  <si>
    <t>Sana Chatterjee</t>
  </si>
  <si>
    <t>Lucknow</t>
  </si>
  <si>
    <t>Kiara Iyer</t>
  </si>
  <si>
    <t>Bhopal</t>
  </si>
  <si>
    <t>Aditya Khan</t>
  </si>
  <si>
    <t>Navya Sharma</t>
  </si>
  <si>
    <t>Hyderabad</t>
  </si>
  <si>
    <t>Imran Mehta</t>
  </si>
  <si>
    <t>Kabir Patel</t>
  </si>
  <si>
    <t>Nagpur</t>
  </si>
  <si>
    <t>Aisha Malhotra</t>
  </si>
  <si>
    <t>Imran Iyer</t>
  </si>
  <si>
    <t>Sai Khan</t>
  </si>
  <si>
    <t>Patna</t>
  </si>
  <si>
    <t>Aditya Iyer</t>
  </si>
  <si>
    <t>Kolkata</t>
  </si>
  <si>
    <t>Neha Reddy</t>
  </si>
  <si>
    <t>Chandigarh</t>
  </si>
  <si>
    <t>Aisha Sharma</t>
  </si>
  <si>
    <t>Ishaan Chatterjee</t>
  </si>
  <si>
    <t>Ahmedabad</t>
  </si>
  <si>
    <t>Ira Singh</t>
  </si>
  <si>
    <t>Mumbai</t>
  </si>
  <si>
    <t>Kiara Khan</t>
  </si>
  <si>
    <t>Zara Khan</t>
  </si>
  <si>
    <t>Neha Khan</t>
  </si>
  <si>
    <t>Ayaan Patel</t>
  </si>
  <si>
    <t>Diya Reddy</t>
  </si>
  <si>
    <t>Ayaan Kapoor</t>
  </si>
  <si>
    <t>Mohammed Gupta</t>
  </si>
  <si>
    <t>Kabir Gupta</t>
  </si>
  <si>
    <t>Ayaan Chatterjee</t>
  </si>
  <si>
    <t>Pune</t>
  </si>
  <si>
    <t>Zara Reddy</t>
  </si>
  <si>
    <t>Rohan Sharma</t>
  </si>
  <si>
    <t>Ayaan Verma</t>
  </si>
  <si>
    <t>Karan Kapoor</t>
  </si>
  <si>
    <t>Mohammed Patel</t>
  </si>
  <si>
    <t>Wireless Earbuds</t>
  </si>
  <si>
    <t>Bluetooth Speaker</t>
  </si>
  <si>
    <t>Smartwatch</t>
  </si>
  <si>
    <t>Power Bank</t>
  </si>
  <si>
    <t>USB-C Cable</t>
  </si>
  <si>
    <t>Cotton T-Shirt</t>
  </si>
  <si>
    <t>Denim Jeans</t>
  </si>
  <si>
    <t>Formal Shirt</t>
  </si>
  <si>
    <t>Hoodie</t>
  </si>
  <si>
    <t>Sports Shorts</t>
  </si>
  <si>
    <t>Non-Stick Pan</t>
  </si>
  <si>
    <t>Electric Kettle</t>
  </si>
  <si>
    <t>Storage Jars Set</t>
  </si>
  <si>
    <t>LED Table Lamp</t>
  </si>
  <si>
    <t>Blender</t>
  </si>
  <si>
    <t>Fiction Novel</t>
  </si>
  <si>
    <t>Self-Help Book</t>
  </si>
  <si>
    <t>Cook Book</t>
  </si>
  <si>
    <t>Kids Story Book</t>
  </si>
  <si>
    <t>Notebook Set</t>
  </si>
  <si>
    <t>Face Wash</t>
  </si>
  <si>
    <t>Moisturizer</t>
  </si>
  <si>
    <t>Lipstick</t>
  </si>
  <si>
    <t>Hair Oil</t>
  </si>
  <si>
    <t>Sunscreen</t>
  </si>
  <si>
    <t>Yoga Mat</t>
  </si>
  <si>
    <t>Cricket Bat</t>
  </si>
  <si>
    <t>Football</t>
  </si>
  <si>
    <t>Dumbbell Set</t>
  </si>
  <si>
    <t>Skipping 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</si>
</sst>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\₹#,##0.00"/>
    <numFmt numFmtId="165" formatCode="yyyy\-mm\-dd"/>
    <numFmt numFmtId="166" formatCode="0.0%"/>
    <numFmt numFmtId="167" formatCode="\₹#,##0"/>
  </numFmts>
  <fonts count="34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b/>
      <sz val="12"/>
      <color rgb="FFFFFFFF"/>
      <name val="Arial"/>
      <charset val="1"/>
    </font>
    <font>
      <sz val="11"/>
      <name val="Arial"/>
      <charset val="1"/>
    </font>
    <font>
      <b/>
      <sz val="10"/>
      <color rgb="FF595959"/>
      <name val="Arial"/>
      <charset val="1"/>
    </font>
    <font>
      <b/>
      <sz val="12"/>
      <color rgb="FF1F3864"/>
      <name val="Arial"/>
      <charset val="1"/>
    </font>
    <font>
      <i/>
      <sz val="9"/>
      <color rgb="FF808080"/>
      <name val="Arial"/>
      <charset val="1"/>
    </font>
    <font>
      <b/>
      <sz val="18"/>
      <color rgb="FF1F3864"/>
      <name val="Arial"/>
      <family val="2"/>
      <charset val="1"/>
    </font>
    <font>
      <b/>
      <i/>
      <sz val="11"/>
      <color theme="1"/>
      <name val="Arial"/>
      <family val="2"/>
      <charset val="1"/>
    </font>
    <font>
      <b/>
      <sz val="10"/>
      <color rgb="FF595959"/>
      <name val="Arial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i/>
      <sz val="11"/>
      <color rgb="FFC00000"/>
      <name val="Arial"/>
      <charset val="1"/>
    </font>
    <font>
      <b/>
      <sz val="10"/>
      <color rgb="FF1F3864"/>
      <name val="Arial"/>
      <charset val="1"/>
    </font>
    <font>
      <sz val="9"/>
      <color rgb="FF595959"/>
      <name val="Arial"/>
      <charset val="1"/>
    </font>
    <font>
      <i/>
      <sz val="9"/>
      <color rgb="FF595959"/>
      <name val="Arial"/>
      <charset val="1"/>
    </font>
    <font>
      <b/>
      <sz val="30"/>
      <color rgb="FF1F3864"/>
      <name val="Arial"/>
      <family val="2"/>
    </font>
    <font>
      <i/>
      <sz val="14"/>
      <color theme="1"/>
      <name val="Arial"/>
      <family val="2"/>
      <charset val="1"/>
    </font>
    <font>
      <b/>
      <sz val="16"/>
      <color theme="8" tint="-0.499984740745262"/>
      <name val="Arial"/>
      <family val="2"/>
    </font>
    <font>
      <b/>
      <i/>
      <sz val="10"/>
      <color rgb="FF1F3864"/>
      <name val="Arial Black"/>
      <family val="2"/>
    </font>
    <font>
      <i/>
      <sz val="10"/>
      <color theme="1"/>
      <name val="Arial Black"/>
      <family val="2"/>
    </font>
    <font>
      <i/>
      <sz val="10"/>
      <color rgb="FF595959"/>
      <name val="Arial Black"/>
      <family val="2"/>
    </font>
    <font>
      <i/>
      <sz val="10"/>
      <color theme="7" tint="-0.249977111117893"/>
      <name val="Arial"/>
      <family val="2"/>
    </font>
    <font>
      <b/>
      <sz val="16"/>
      <color theme="5" tint="-0.249977111117893"/>
      <name val="Arial"/>
      <family val="2"/>
    </font>
    <font>
      <b/>
      <sz val="11"/>
      <color rgb="FFFFFFFF"/>
      <name val="Arial"/>
      <family val="2"/>
    </font>
    <font>
      <b/>
      <sz val="16"/>
      <color theme="1" tint="0.14999847407452621"/>
      <name val="Arial"/>
      <family val="2"/>
    </font>
    <font>
      <i/>
      <sz val="10"/>
      <color theme="1" tint="0.14999847407452621"/>
      <name val="Arial"/>
      <family val="2"/>
    </font>
    <font>
      <b/>
      <sz val="10"/>
      <color rgb="FF595959"/>
      <name val="Cambria"/>
      <family val="1"/>
      <scheme val="major"/>
    </font>
    <font>
      <sz val="11"/>
      <color theme="1"/>
      <name val="Calibri"/>
      <family val="2"/>
      <scheme val="minor"/>
    </font>
    <font>
      <sz val="11"/>
      <color rgb="FF1E1E1E"/>
      <name val="Segoe UI"/>
      <family val="2"/>
    </font>
    <font>
      <b/>
      <sz val="11"/>
      <color rgb="FF102C57"/>
      <name val="Segoe UI"/>
      <family val="2"/>
    </font>
    <font>
      <sz val="11"/>
      <name val="Arial"/>
      <family val="2"/>
    </font>
    <font>
      <b/>
      <sz val="16"/>
      <color theme="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1F3864"/>
        <bgColor rgb="FF2E539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9" fillId="0" borderId="0"/>
  </cellStyleXfs>
  <cellXfs count="127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4" fontId="5" fillId="0" borderId="0" xfId="0" applyNumberFormat="1" applyFont="1"/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65" fontId="12" fillId="0" borderId="3" xfId="0" applyNumberFormat="1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9" fontId="12" fillId="0" borderId="3" xfId="0" applyNumberFormat="1" applyFont="1" applyBorder="1" applyAlignment="1">
      <alignment horizontal="center" vertical="center"/>
    </xf>
    <xf numFmtId="166" fontId="12" fillId="0" borderId="3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65" fontId="12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9" fontId="12" fillId="0" borderId="7" xfId="0" applyNumberFormat="1" applyFont="1" applyBorder="1" applyAlignment="1">
      <alignment horizontal="center" vertical="center"/>
    </xf>
    <xf numFmtId="166" fontId="12" fillId="0" borderId="7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14" fontId="12" fillId="0" borderId="3" xfId="0" applyNumberFormat="1" applyFont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0" fillId="0" borderId="3" xfId="0" applyBorder="1"/>
    <xf numFmtId="0" fontId="4" fillId="3" borderId="4" xfId="0" applyFont="1" applyFill="1" applyBorder="1" applyAlignment="1">
      <alignment horizontal="center" vertical="center"/>
    </xf>
    <xf numFmtId="3" fontId="1" fillId="3" borderId="4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18" xfId="0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20" fillId="0" borderId="2" xfId="0" applyFont="1" applyBorder="1"/>
    <xf numFmtId="0" fontId="21" fillId="0" borderId="3" xfId="0" applyFont="1" applyBorder="1"/>
    <xf numFmtId="0" fontId="22" fillId="0" borderId="2" xfId="0" applyFont="1" applyBorder="1"/>
    <xf numFmtId="0" fontId="22" fillId="0" borderId="6" xfId="0" applyFont="1" applyBorder="1"/>
    <xf numFmtId="0" fontId="21" fillId="0" borderId="7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10" fillId="4" borderId="4" xfId="0" applyFont="1" applyFill="1" applyBorder="1"/>
    <xf numFmtId="0" fontId="3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29" fillId="0" borderId="0" xfId="1"/>
    <xf numFmtId="0" fontId="30" fillId="0" borderId="0" xfId="1" applyFont="1"/>
    <xf numFmtId="0" fontId="30" fillId="0" borderId="0" xfId="1" applyFont="1" applyAlignment="1">
      <alignment horizontal="left" wrapText="1"/>
    </xf>
    <xf numFmtId="0" fontId="30" fillId="0" borderId="0" xfId="1" applyFont="1" applyAlignment="1">
      <alignment horizontal="left"/>
    </xf>
    <xf numFmtId="0" fontId="31" fillId="0" borderId="0" xfId="1" applyFont="1" applyAlignment="1">
      <alignment horizontal="left" vertical="top"/>
    </xf>
    <xf numFmtId="0" fontId="30" fillId="0" borderId="0" xfId="1" applyFont="1" applyAlignment="1">
      <alignment horizontal="left" vertical="top"/>
    </xf>
    <xf numFmtId="0" fontId="29" fillId="0" borderId="0" xfId="1" applyAlignment="1">
      <alignment horizontal="left" vertical="top"/>
    </xf>
    <xf numFmtId="8" fontId="0" fillId="0" borderId="0" xfId="0" applyNumberFormat="1"/>
    <xf numFmtId="0" fontId="32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4" fontId="12" fillId="0" borderId="4" xfId="0" applyNumberFormat="1" applyFont="1" applyBorder="1" applyAlignment="1">
      <alignment horizontal="center" vertical="center"/>
    </xf>
    <xf numFmtId="4" fontId="12" fillId="0" borderId="8" xfId="0" applyNumberFormat="1" applyFont="1" applyBorder="1" applyAlignment="1">
      <alignment horizontal="center" vertical="center"/>
    </xf>
    <xf numFmtId="0" fontId="6" fillId="0" borderId="0" xfId="0" applyFont="1"/>
    <xf numFmtId="0" fontId="0" fillId="0" borderId="0" xfId="0"/>
    <xf numFmtId="167" fontId="1" fillId="3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top"/>
    </xf>
    <xf numFmtId="164" fontId="1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3" fillId="9" borderId="0" xfId="1" applyFont="1" applyFill="1" applyAlignment="1">
      <alignment horizontal="center" vertical="center"/>
    </xf>
    <xf numFmtId="0" fontId="29" fillId="0" borderId="0" xfId="1"/>
    <xf numFmtId="0" fontId="19" fillId="5" borderId="1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9" fillId="3" borderId="2" xfId="0" applyFont="1" applyFill="1" applyBorder="1" applyAlignment="1">
      <alignment horizontal="center" vertical="center"/>
    </xf>
    <xf numFmtId="0" fontId="0" fillId="0" borderId="16" xfId="0" applyBorder="1"/>
    <xf numFmtId="0" fontId="4" fillId="3" borderId="3" xfId="0" applyFont="1" applyFill="1" applyBorder="1" applyAlignment="1">
      <alignment horizontal="center" vertical="center"/>
    </xf>
    <xf numFmtId="166" fontId="1" fillId="3" borderId="3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15" xfId="0" applyBorder="1"/>
    <xf numFmtId="0" fontId="2" fillId="2" borderId="2" xfId="0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7" fillId="0" borderId="1" xfId="0" applyFont="1" applyBorder="1" applyAlignment="1">
      <alignment horizontal="center" vertical="center"/>
    </xf>
    <xf numFmtId="4" fontId="1" fillId="3" borderId="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17" xfId="0" applyBorder="1"/>
    <xf numFmtId="0" fontId="4" fillId="3" borderId="2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">
    <dxf>
      <fill>
        <patternFill>
          <bgColor rgb="FFFCE4E4"/>
        </patternFill>
      </fill>
    </dxf>
    <dxf>
      <fill>
        <patternFill>
          <bgColor rgb="FFFFF2CC"/>
        </patternFill>
      </fill>
    </dxf>
    <dxf>
      <fill>
        <patternFill>
          <bgColor rgb="FFFCE4E4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BFBFBF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B3B3B3"/>
      <rgbColor rgb="FFFF99CC"/>
      <rgbColor rgb="FFCC99FF"/>
      <rgbColor rgb="FFFCE4E4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2E5395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i="0" strike="noStrike" baseline="0"/>
              <a:t>Regional Sales Breakdown</a:t>
            </a:r>
            <a:endParaRPr lang="en-US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54761867469766"/>
          <c:y val="0.15691297134122709"/>
          <c:w val="0.88452381325302332"/>
          <c:h val="0.626167679296858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Analysis!$B$10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Analysis!$A$11:$A$15</c:f>
              <c:strCache>
                <c:ptCount val="5"/>
                <c:pt idx="0">
                  <c:v>North</c:v>
                </c:pt>
                <c:pt idx="1">
                  <c:v>Central</c:v>
                </c:pt>
                <c:pt idx="2">
                  <c:v>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Analysis!$B$11:$B$15</c:f>
              <c:numCache>
                <c:formatCode>\₹#,##0.00</c:formatCode>
                <c:ptCount val="5"/>
                <c:pt idx="0">
                  <c:v>573120.01000000013</c:v>
                </c:pt>
                <c:pt idx="1">
                  <c:v>542818.37</c:v>
                </c:pt>
                <c:pt idx="2">
                  <c:v>364427.47999999992</c:v>
                </c:pt>
                <c:pt idx="3">
                  <c:v>233933.78</c:v>
                </c:pt>
                <c:pt idx="4">
                  <c:v>224178.03999999998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8-4521-A8E8-37BD244C0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540185"/>
        <c:axId val="99401094"/>
      </c:barChart>
      <c:catAx>
        <c:axId val="745401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401094"/>
        <c:crosses val="autoZero"/>
        <c:auto val="1"/>
        <c:lblAlgn val="ctr"/>
        <c:lblOffset val="100"/>
        <c:noMultiLvlLbl val="0"/>
      </c:catAx>
      <c:valAx>
        <c:axId val="994010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[$₹-4009]\ 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54018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i="0" strike="noStrike" baseline="0"/>
              <a:t>2024 Monthly Sales Trend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Analysis!$B$27</c:f>
              <c:strCache>
                <c:ptCount val="1"/>
                <c:pt idx="0">
                  <c:v>Total Sales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Analysis!$A$28:$A$39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Analysis!$B$28:$B$39</c:f>
              <c:numCache>
                <c:formatCode>\₹#,##0.00</c:formatCode>
                <c:ptCount val="12"/>
                <c:pt idx="0">
                  <c:v>167459.20000000001</c:v>
                </c:pt>
                <c:pt idx="1">
                  <c:v>147091.13999999998</c:v>
                </c:pt>
                <c:pt idx="2">
                  <c:v>180483.78999999998</c:v>
                </c:pt>
                <c:pt idx="3">
                  <c:v>102156.27999999998</c:v>
                </c:pt>
                <c:pt idx="4">
                  <c:v>184220.42999999996</c:v>
                </c:pt>
                <c:pt idx="5">
                  <c:v>176979.11000000002</c:v>
                </c:pt>
                <c:pt idx="6">
                  <c:v>128992.47000000002</c:v>
                </c:pt>
                <c:pt idx="7">
                  <c:v>183602.87999999995</c:v>
                </c:pt>
                <c:pt idx="8">
                  <c:v>40913.199999999997</c:v>
                </c:pt>
                <c:pt idx="9">
                  <c:v>226156.72</c:v>
                </c:pt>
                <c:pt idx="10">
                  <c:v>159985.71999999997</c:v>
                </c:pt>
                <c:pt idx="11">
                  <c:v>206533.34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BE-4353-A604-14D6108AA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7537016"/>
        <c:axId val="92726969"/>
      </c:lineChart>
      <c:catAx>
        <c:axId val="775370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726969"/>
        <c:crosses val="autoZero"/>
        <c:auto val="1"/>
        <c:lblAlgn val="ctr"/>
        <c:lblOffset val="100"/>
        <c:noMultiLvlLbl val="0"/>
      </c:catAx>
      <c:valAx>
        <c:axId val="92726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[$₹-4009]\ 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53701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 marL="0" marR="0" lvl="0" indent="0" algn="ctr" defTabSz="914400" rtl="0" eaLnBrk="1" fontAlgn="auto" latinLnBrk="0" hangingPunct="1">
              <a:defRPr sz="1800" b="1" i="0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/>
              <a:t>Quarterly Profit Analytics</a:t>
            </a:r>
            <a:endParaRPr lang="en-US" sz="1800" b="0" strike="noStrike"/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Analysis!$C$41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Analysis!$A$42:$A$45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Analysis!$C$42:$C$45</c:f>
              <c:numCache>
                <c:formatCode>\₹#,##0.00</c:formatCode>
                <c:ptCount val="4"/>
                <c:pt idx="0">
                  <c:v>104140.70999999999</c:v>
                </c:pt>
                <c:pt idx="1">
                  <c:v>91386.040000000008</c:v>
                </c:pt>
                <c:pt idx="2">
                  <c:v>73997.760000000038</c:v>
                </c:pt>
                <c:pt idx="3">
                  <c:v>122439.40000000001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C-4718-8726-B19E946CA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278869"/>
        <c:axId val="18077648"/>
      </c:barChart>
      <c:catAx>
        <c:axId val="892788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077648"/>
        <c:crosses val="autoZero"/>
        <c:auto val="1"/>
        <c:lblAlgn val="ctr"/>
        <c:lblOffset val="100"/>
        <c:noMultiLvlLbl val="0"/>
      </c:catAx>
      <c:valAx>
        <c:axId val="18077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Profit (Rs.)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[$₹-4009]\ 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27886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i="0" strike="noStrike" baseline="0"/>
              <a:t>Product Category Performance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Analysis!$A$19:$A$24</c:f>
              <c:strCache>
                <c:ptCount val="6"/>
                <c:pt idx="0">
                  <c:v>Beauty</c:v>
                </c:pt>
                <c:pt idx="1">
                  <c:v>Apparel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Books</c:v>
                </c:pt>
                <c:pt idx="5">
                  <c:v>Sports</c:v>
                </c:pt>
              </c:strCache>
            </c:strRef>
          </c:cat>
          <c:val>
            <c:numRef>
              <c:f>Analysis!$B$19:$B$24</c:f>
              <c:numCache>
                <c:formatCode>\₹#,##0.00</c:formatCode>
                <c:ptCount val="6"/>
                <c:pt idx="0">
                  <c:v>497060.9599999999</c:v>
                </c:pt>
                <c:pt idx="1">
                  <c:v>398394.88999999996</c:v>
                </c:pt>
                <c:pt idx="2">
                  <c:v>272764.95</c:v>
                </c:pt>
                <c:pt idx="3">
                  <c:v>259468.12999999995</c:v>
                </c:pt>
                <c:pt idx="4">
                  <c:v>259074.67000000007</c:v>
                </c:pt>
                <c:pt idx="5">
                  <c:v>251714.07999999993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F-4F61-B4D5-C5361B1D5B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7750841"/>
        <c:axId val="594415"/>
      </c:barChart>
      <c:catAx>
        <c:axId val="3775084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4415"/>
        <c:crosses val="autoZero"/>
        <c:auto val="1"/>
        <c:lblAlgn val="ctr"/>
        <c:lblOffset val="100"/>
        <c:noMultiLvlLbl val="0"/>
      </c:catAx>
      <c:valAx>
        <c:axId val="59441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\₹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75084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30960</xdr:rowOff>
    </xdr:from>
    <xdr:to>
      <xdr:col>9</xdr:col>
      <xdr:colOff>605160</xdr:colOff>
      <xdr:row>27</xdr:row>
      <xdr:rowOff>41400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62459</xdr:rowOff>
    </xdr:from>
    <xdr:to>
      <xdr:col>9</xdr:col>
      <xdr:colOff>605160</xdr:colOff>
      <xdr:row>45</xdr:row>
      <xdr:rowOff>41400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700920</xdr:colOff>
      <xdr:row>28</xdr:row>
      <xdr:rowOff>49967</xdr:rowOff>
    </xdr:from>
    <xdr:to>
      <xdr:col>18</xdr:col>
      <xdr:colOff>151920</xdr:colOff>
      <xdr:row>45</xdr:row>
      <xdr:rowOff>41400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685800</xdr:colOff>
      <xdr:row>11</xdr:row>
      <xdr:rowOff>30960</xdr:rowOff>
    </xdr:from>
    <xdr:to>
      <xdr:col>18</xdr:col>
      <xdr:colOff>136800</xdr:colOff>
      <xdr:row>27</xdr:row>
      <xdr:rowOff>41400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E32"/>
  <sheetViews>
    <sheetView showGridLines="0" tabSelected="1" zoomScale="70" zoomScaleNormal="70" workbookViewId="0">
      <selection activeCell="I15" sqref="I15"/>
    </sheetView>
  </sheetViews>
  <sheetFormatPr defaultRowHeight="14.4" x14ac:dyDescent="0.3"/>
  <cols>
    <col min="1" max="1" width="1.21875" style="78" customWidth="1"/>
    <col min="2" max="2" width="12.77734375" style="78" customWidth="1"/>
    <col min="3" max="3" width="111.21875" style="78" customWidth="1"/>
    <col min="4" max="4" width="8.88671875" style="78" customWidth="1"/>
    <col min="5" max="16384" width="8.88671875" style="78"/>
  </cols>
  <sheetData>
    <row r="1" spans="1:5" ht="30" customHeight="1" x14ac:dyDescent="0.3">
      <c r="A1" s="100" t="s">
        <v>10</v>
      </c>
      <c r="B1" s="101"/>
      <c r="C1" s="101"/>
      <c r="D1" s="101"/>
      <c r="E1" s="101"/>
    </row>
    <row r="2" spans="1:5" ht="6.6" customHeight="1" x14ac:dyDescent="0.4">
      <c r="B2" s="79"/>
      <c r="C2" s="79"/>
    </row>
    <row r="3" spans="1:5" ht="16.8" customHeight="1" x14ac:dyDescent="0.4">
      <c r="B3" s="82" t="s">
        <v>11</v>
      </c>
      <c r="C3" s="80" t="s">
        <v>12</v>
      </c>
    </row>
    <row r="4" spans="1:5" ht="16.8" customHeight="1" x14ac:dyDescent="0.4">
      <c r="B4" s="83"/>
      <c r="C4" s="81"/>
    </row>
    <row r="5" spans="1:5" ht="16.8" customHeight="1" x14ac:dyDescent="0.4">
      <c r="B5" s="82" t="s">
        <v>13</v>
      </c>
      <c r="C5" s="80" t="s">
        <v>14</v>
      </c>
    </row>
    <row r="6" spans="1:5" ht="16.8" customHeight="1" x14ac:dyDescent="0.4">
      <c r="B6" s="83"/>
      <c r="C6" s="81" t="s">
        <v>15</v>
      </c>
    </row>
    <row r="7" spans="1:5" ht="17.399999999999999" customHeight="1" x14ac:dyDescent="0.4">
      <c r="B7" s="83"/>
      <c r="C7" s="81"/>
    </row>
    <row r="8" spans="1:5" ht="31.8" customHeight="1" x14ac:dyDescent="0.4">
      <c r="B8" s="82" t="s">
        <v>16</v>
      </c>
      <c r="C8" s="80" t="s">
        <v>17</v>
      </c>
    </row>
    <row r="9" spans="1:5" ht="16.8" customHeight="1" x14ac:dyDescent="0.4">
      <c r="B9" s="83"/>
      <c r="C9" s="81"/>
    </row>
    <row r="10" spans="1:5" ht="16.8" customHeight="1" x14ac:dyDescent="0.4">
      <c r="B10" s="82" t="s">
        <v>18</v>
      </c>
      <c r="C10" s="80" t="s">
        <v>19</v>
      </c>
    </row>
    <row r="11" spans="1:5" ht="16.8" customHeight="1" x14ac:dyDescent="0.4">
      <c r="B11" s="84"/>
      <c r="C11" s="81"/>
    </row>
    <row r="12" spans="1:5" ht="15.6" customHeight="1" x14ac:dyDescent="0.4">
      <c r="B12" s="82" t="s">
        <v>20</v>
      </c>
      <c r="C12" s="80" t="s">
        <v>21</v>
      </c>
    </row>
    <row r="13" spans="1:5" ht="16.8" customHeight="1" x14ac:dyDescent="0.4">
      <c r="B13" s="83"/>
      <c r="C13" s="81" t="s">
        <v>22</v>
      </c>
    </row>
    <row r="14" spans="1:5" ht="16.8" customHeight="1" x14ac:dyDescent="0.4">
      <c r="B14" s="83"/>
      <c r="C14" s="81"/>
    </row>
    <row r="15" spans="1:5" ht="16.8" customHeight="1" x14ac:dyDescent="0.4">
      <c r="B15" s="82" t="s">
        <v>23</v>
      </c>
      <c r="C15" s="80" t="s">
        <v>24</v>
      </c>
    </row>
    <row r="16" spans="1:5" ht="16.8" customHeight="1" x14ac:dyDescent="0.4">
      <c r="B16" s="83"/>
      <c r="C16" s="80" t="s">
        <v>25</v>
      </c>
    </row>
    <row r="17" spans="2:3" ht="16.8" customHeight="1" x14ac:dyDescent="0.4">
      <c r="B17" s="79"/>
      <c r="C17" s="80" t="s">
        <v>26</v>
      </c>
    </row>
    <row r="18" spans="2:3" ht="16.8" customHeight="1" x14ac:dyDescent="0.4">
      <c r="B18" s="79"/>
      <c r="C18" s="80" t="s">
        <v>27</v>
      </c>
    </row>
    <row r="19" spans="2:3" ht="16.8" customHeight="1" x14ac:dyDescent="0.4">
      <c r="B19" s="79"/>
      <c r="C19" s="80" t="s">
        <v>28</v>
      </c>
    </row>
    <row r="20" spans="2:3" ht="16.8" customHeight="1" x14ac:dyDescent="0.4">
      <c r="B20" s="79"/>
      <c r="C20" s="80" t="s">
        <v>29</v>
      </c>
    </row>
    <row r="21" spans="2:3" ht="16.8" customHeight="1" x14ac:dyDescent="0.4">
      <c r="B21" s="79"/>
      <c r="C21" s="80" t="s">
        <v>30</v>
      </c>
    </row>
    <row r="22" spans="2:3" ht="24" customHeight="1" x14ac:dyDescent="0.4">
      <c r="B22" s="79"/>
      <c r="C22" s="79"/>
    </row>
    <row r="23" spans="2:3" ht="24" customHeight="1" x14ac:dyDescent="0.4">
      <c r="B23" s="79"/>
      <c r="C23" s="79"/>
    </row>
    <row r="24" spans="2:3" ht="24" customHeight="1" x14ac:dyDescent="0.4">
      <c r="B24" s="79"/>
      <c r="C24" s="79"/>
    </row>
    <row r="25" spans="2:3" ht="24" customHeight="1" x14ac:dyDescent="0.4">
      <c r="B25" s="79"/>
      <c r="C25" s="79"/>
    </row>
    <row r="26" spans="2:3" ht="24" customHeight="1" x14ac:dyDescent="0.4">
      <c r="B26" s="79"/>
      <c r="C26" s="79"/>
    </row>
    <row r="27" spans="2:3" ht="24" customHeight="1" x14ac:dyDescent="0.4">
      <c r="B27" s="79"/>
      <c r="C27" s="79"/>
    </row>
    <row r="28" spans="2:3" ht="24" customHeight="1" x14ac:dyDescent="0.4">
      <c r="B28" s="79"/>
      <c r="C28" s="79"/>
    </row>
    <row r="29" spans="2:3" ht="24" customHeight="1" x14ac:dyDescent="0.4">
      <c r="B29" s="79"/>
      <c r="C29" s="79"/>
    </row>
    <row r="30" spans="2:3" ht="24" customHeight="1" x14ac:dyDescent="0.4">
      <c r="B30" s="79"/>
      <c r="C30" s="79"/>
    </row>
    <row r="31" spans="2:3" ht="24" customHeight="1" x14ac:dyDescent="0.4">
      <c r="B31" s="79"/>
      <c r="C31" s="79"/>
    </row>
    <row r="32" spans="2:3" ht="24" customHeight="1" x14ac:dyDescent="0.4">
      <c r="B32" s="79"/>
      <c r="C32" s="79"/>
    </row>
  </sheetData>
  <mergeCells count="1">
    <mergeCell ref="A1:E1"/>
  </mergeCells>
  <printOptions horizontalCentered="1" verticalCentered="1"/>
  <pageMargins left="0.25" right="0.25" top="0.35" bottom="0.35" header="0.15" footer="0.1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1F3864"/>
    <pageSetUpPr autoPageBreaks="0" fitToPage="1"/>
  </sheetPr>
  <dimension ref="B1:X53"/>
  <sheetViews>
    <sheetView showGridLines="0" zoomScale="55" zoomScaleNormal="55" workbookViewId="0">
      <selection activeCell="E6" sqref="E6:F6"/>
    </sheetView>
  </sheetViews>
  <sheetFormatPr defaultColWidth="8.6640625" defaultRowHeight="14.4" x14ac:dyDescent="0.3"/>
  <cols>
    <col min="1" max="1" width="3" customWidth="1"/>
    <col min="2" max="3" width="15" customWidth="1"/>
    <col min="4" max="4" width="14" customWidth="1"/>
    <col min="5" max="6" width="15" customWidth="1"/>
    <col min="7" max="7" width="3" customWidth="1"/>
    <col min="8" max="9" width="15" customWidth="1"/>
    <col min="10" max="10" width="14" customWidth="1"/>
    <col min="11" max="12" width="15" customWidth="1"/>
    <col min="13" max="13" width="3" customWidth="1"/>
    <col min="14" max="17" width="15" customWidth="1"/>
  </cols>
  <sheetData>
    <row r="1" spans="2:18" ht="14.25" customHeight="1" x14ac:dyDescent="0.3">
      <c r="B1" s="99" t="s">
        <v>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</row>
    <row r="2" spans="2:18" ht="27.75" customHeight="1" x14ac:dyDescent="0.3"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</row>
    <row r="3" spans="2:18" ht="14.25" customHeight="1" x14ac:dyDescent="0.3">
      <c r="B3" s="97" t="s">
        <v>1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</row>
    <row r="4" spans="2:18" ht="14.25" customHeight="1" x14ac:dyDescent="0.3"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</row>
    <row r="5" spans="2:18" ht="14.25" customHeight="1" x14ac:dyDescent="0.3">
      <c r="B5" s="96" t="s">
        <v>2</v>
      </c>
      <c r="C5" s="92"/>
      <c r="D5" s="1"/>
      <c r="E5" s="96" t="s">
        <v>3</v>
      </c>
      <c r="F5" s="92"/>
      <c r="G5" s="1"/>
      <c r="H5" s="96" t="s">
        <v>4</v>
      </c>
      <c r="I5" s="92"/>
      <c r="J5" s="1"/>
      <c r="K5" s="96" t="s">
        <v>5</v>
      </c>
      <c r="L5" s="92"/>
      <c r="M5" s="1"/>
      <c r="P5" s="96" t="s">
        <v>6</v>
      </c>
      <c r="Q5" s="92"/>
      <c r="R5" s="1"/>
    </row>
    <row r="6" spans="2:18" ht="22.5" customHeight="1" x14ac:dyDescent="0.3">
      <c r="B6" s="93">
        <f>Analysis!A5</f>
        <v>1938477.679999999</v>
      </c>
      <c r="C6" s="92"/>
      <c r="D6" s="1"/>
      <c r="E6" s="93">
        <f>Analysis!C5</f>
        <v>400069.39999999979</v>
      </c>
      <c r="F6" s="92"/>
      <c r="G6" s="1"/>
      <c r="H6" s="94">
        <f>Analysis!E5</f>
        <v>260</v>
      </c>
      <c r="I6" s="92"/>
      <c r="J6" s="1"/>
      <c r="K6" s="98">
        <f>Analysis!A7</f>
        <v>7455.6833846153804</v>
      </c>
      <c r="L6" s="92"/>
      <c r="M6" s="1"/>
      <c r="P6" s="95">
        <f>Analysis!C7</f>
        <v>0.20638328938613315</v>
      </c>
      <c r="Q6" s="92"/>
      <c r="R6" s="1"/>
    </row>
    <row r="9" spans="2:18" ht="15" customHeight="1" x14ac:dyDescent="0.3">
      <c r="B9" s="2" t="s">
        <v>7</v>
      </c>
      <c r="D9" s="3" t="str">
        <f>Analysis!B49</f>
        <v>North</v>
      </c>
      <c r="F9" s="2" t="s">
        <v>8</v>
      </c>
      <c r="H9" s="4" t="str">
        <f>Analysis!B50</f>
        <v>Beauty</v>
      </c>
      <c r="K9" s="2" t="s">
        <v>9</v>
      </c>
      <c r="M9" s="4" t="str">
        <f>Analysis!B51</f>
        <v>Oct</v>
      </c>
    </row>
    <row r="10" spans="2:18" ht="15" customHeight="1" x14ac:dyDescent="0.3">
      <c r="B10" s="2"/>
      <c r="D10" s="5"/>
    </row>
    <row r="36" spans="24:24" x14ac:dyDescent="0.3">
      <c r="X36" s="77"/>
    </row>
    <row r="50" spans="2:12" ht="14.25" customHeight="1" x14ac:dyDescent="0.3">
      <c r="B50" s="91"/>
      <c r="C50" s="92"/>
      <c r="D50" s="92"/>
      <c r="E50" s="92"/>
      <c r="F50" s="92"/>
      <c r="G50" s="92"/>
      <c r="H50" s="92"/>
      <c r="I50" s="92"/>
      <c r="J50" s="92"/>
      <c r="K50" s="92"/>
      <c r="L50" s="92"/>
    </row>
    <row r="53" spans="2:12" x14ac:dyDescent="0.3">
      <c r="F53" s="85"/>
    </row>
  </sheetData>
  <mergeCells count="13">
    <mergeCell ref="B1:R2"/>
    <mergeCell ref="B5:C5"/>
    <mergeCell ref="B3:R4"/>
    <mergeCell ref="E5:F5"/>
    <mergeCell ref="K5:L5"/>
    <mergeCell ref="H5:I5"/>
    <mergeCell ref="P5:Q5"/>
    <mergeCell ref="B50:L50"/>
    <mergeCell ref="B6:C6"/>
    <mergeCell ref="E6:F6"/>
    <mergeCell ref="H6:I6"/>
    <mergeCell ref="P6:Q6"/>
    <mergeCell ref="K6:L6"/>
  </mergeCells>
  <dataValidations count="1">
    <dataValidation type="list" sqref="D9" xr:uid="{00000000-0002-0000-0100-000000000000}">
      <formula1>"All,North,South,East,West,Central"</formula1>
      <formula2>0</formula2>
    </dataValidation>
  </dataValidations>
  <printOptions horizontalCentered="1" verticalCentered="1"/>
  <pageMargins left="0.2" right="0.2" top="0.2" bottom="0.2" header="0.15" footer="0.1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1E7145"/>
    <pageSetUpPr autoPageBreaks="0" fitToPage="1"/>
  </sheetPr>
  <dimension ref="A1:T262"/>
  <sheetViews>
    <sheetView showGridLines="0" topLeftCell="G1" zoomScale="88" zoomScaleNormal="88" workbookViewId="0">
      <pane ySplit="2" topLeftCell="A3" activePane="bottomLeft" state="frozen"/>
      <selection pane="bottomLeft" activeCell="A3" sqref="A1:T262"/>
    </sheetView>
  </sheetViews>
  <sheetFormatPr defaultColWidth="8.6640625" defaultRowHeight="14.4" x14ac:dyDescent="0.3"/>
  <cols>
    <col min="1" max="1" width="8.88671875" customWidth="1"/>
    <col min="2" max="2" width="12.5546875" customWidth="1"/>
    <col min="3" max="3" width="16.33203125" customWidth="1"/>
    <col min="4" max="4" width="7.88671875" customWidth="1"/>
    <col min="5" max="5" width="10.5546875" customWidth="1"/>
    <col min="6" max="6" width="15.88671875" customWidth="1"/>
    <col min="7" max="7" width="14.21875" customWidth="1"/>
    <col min="8" max="8" width="11" customWidth="1"/>
    <col min="9" max="9" width="7" customWidth="1"/>
    <col min="10" max="10" width="12.6640625" customWidth="1"/>
    <col min="11" max="11" width="8.33203125" customWidth="1"/>
    <col min="12" max="12" width="9.21875" customWidth="1"/>
    <col min="13" max="13" width="9.88671875" customWidth="1"/>
    <col min="14" max="14" width="9.5546875" customWidth="1"/>
    <col min="15" max="15" width="12.44140625" customWidth="1"/>
    <col min="16" max="17" width="13" customWidth="1"/>
    <col min="18" max="18" width="14" customWidth="1"/>
    <col min="19" max="20" width="11.44140625" customWidth="1"/>
  </cols>
  <sheetData>
    <row r="1" spans="1:20" ht="17.25" customHeight="1" x14ac:dyDescent="0.3">
      <c r="A1" s="102" t="s">
        <v>31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4"/>
    </row>
    <row r="2" spans="1:20" ht="14.25" customHeight="1" x14ac:dyDescent="0.3">
      <c r="A2" s="6" t="s">
        <v>32</v>
      </c>
      <c r="B2" s="7" t="s">
        <v>33</v>
      </c>
      <c r="C2" s="7" t="s">
        <v>34</v>
      </c>
      <c r="D2" s="7" t="s">
        <v>35</v>
      </c>
      <c r="E2" s="7" t="s">
        <v>36</v>
      </c>
      <c r="F2" s="7" t="s">
        <v>37</v>
      </c>
      <c r="G2" s="7" t="s">
        <v>38</v>
      </c>
      <c r="H2" s="7" t="s">
        <v>39</v>
      </c>
      <c r="I2" s="7" t="s">
        <v>40</v>
      </c>
      <c r="J2" s="7" t="s">
        <v>41</v>
      </c>
      <c r="K2" s="7" t="s">
        <v>42</v>
      </c>
      <c r="L2" s="7" t="s">
        <v>43</v>
      </c>
      <c r="M2" s="7" t="s">
        <v>44</v>
      </c>
      <c r="N2" s="7" t="s">
        <v>45</v>
      </c>
      <c r="O2" s="7" t="s">
        <v>46</v>
      </c>
      <c r="P2" s="7" t="s">
        <v>47</v>
      </c>
      <c r="Q2" s="7" t="s">
        <v>48</v>
      </c>
      <c r="R2" s="7" t="s">
        <v>49</v>
      </c>
      <c r="S2" s="7" t="s">
        <v>50</v>
      </c>
      <c r="T2" s="8" t="s">
        <v>51</v>
      </c>
    </row>
    <row r="3" spans="1:20" ht="14.25" customHeight="1" x14ac:dyDescent="0.3">
      <c r="A3" s="21" t="s">
        <v>52</v>
      </c>
      <c r="B3" s="22" t="s">
        <v>53</v>
      </c>
      <c r="C3" s="22" t="str">
        <f>IFERROR(INDEX(Customers!$B$2:$B$31,MATCH(B3,Customers!$A$2:$A$31,0)),"Unknown")</f>
        <v>Aisha Malhotra</v>
      </c>
      <c r="D3" s="22" t="str">
        <f>IFERROR(INDEX(Customers!$D$2:$D$31,MATCH(B3,Customers!$A$2:$A$31,0)),"Unknown")</f>
        <v>Central</v>
      </c>
      <c r="E3" s="22" t="s">
        <v>54</v>
      </c>
      <c r="F3" s="22" t="str">
        <f>IFERROR(INDEX(Products!$B$2:$B$31,MATCH(E3,Products!$A$2:$A$31,0)),"Unknown")</f>
        <v>Bluetooth Speaker</v>
      </c>
      <c r="G3" s="22" t="str">
        <f>IFERROR(INDEX(Products!$C$2:$C$31,MATCH(E3,Products!$A$2:$A$31,0)),"Unknown")</f>
        <v>Electronics</v>
      </c>
      <c r="H3" s="23">
        <v>45293</v>
      </c>
      <c r="I3" s="22">
        <f t="shared" ref="I3:I66" si="0">IF(H3="","",MONTH(H3))</f>
        <v>1</v>
      </c>
      <c r="J3" s="22" t="str">
        <f t="shared" ref="J3:J66" si="1">IF(H3="","",TEXT(H3,"mmm"))</f>
        <v>Jan</v>
      </c>
      <c r="K3" s="22" t="str">
        <f t="shared" ref="K3:K66" si="2">IF(H3="","","Q"&amp;ROUNDUP(MONTH(H3)/3,0))</f>
        <v>Q1</v>
      </c>
      <c r="L3" s="22">
        <v>6</v>
      </c>
      <c r="M3" s="24">
        <v>3267.99</v>
      </c>
      <c r="N3" s="25">
        <v>0.15</v>
      </c>
      <c r="O3" s="24">
        <f>IFERROR(INDEX(Products!$D$2:$D$31,MATCH(E3,Products!$A$2:$A$31,0)),0)</f>
        <v>2293.21</v>
      </c>
      <c r="P3" s="24">
        <f t="shared" ref="P3:P66" si="3">ROUND(L3*M3*(1-N3),2)</f>
        <v>16666.75</v>
      </c>
      <c r="Q3" s="24">
        <f t="shared" ref="Q3:Q66" si="4">ROUND(P3-L3*O3,2)</f>
        <v>2907.49</v>
      </c>
      <c r="R3" s="26">
        <f t="shared" ref="R3:R66" si="5">IFERROR(Q3/P3,0)</f>
        <v>0.17444852775736119</v>
      </c>
      <c r="S3" s="22" t="str">
        <f t="shared" ref="S3:S66" si="6">IF(L3&gt;=5,"Bulk","Regular")</f>
        <v>Bulk</v>
      </c>
      <c r="T3" s="27" t="str">
        <f t="shared" ref="T3:T66" si="7">IF(R3&gt;=0.3,"High",IF(R3&gt;=0.15,"Medium","Low"))</f>
        <v>Medium</v>
      </c>
    </row>
    <row r="4" spans="1:20" ht="14.25" customHeight="1" x14ac:dyDescent="0.3">
      <c r="A4" s="21" t="s">
        <v>55</v>
      </c>
      <c r="B4" s="22" t="s">
        <v>56</v>
      </c>
      <c r="C4" s="22" t="str">
        <f>IFERROR(INDEX(Customers!$B$2:$B$31,MATCH(B4,Customers!$A$2:$A$31,0)),"Unknown")</f>
        <v>Mohammed Patel</v>
      </c>
      <c r="D4" s="22" t="str">
        <f>IFERROR(INDEX(Customers!$D$2:$D$31,MATCH(B4,Customers!$A$2:$A$31,0)),"Unknown")</f>
        <v>East</v>
      </c>
      <c r="E4" s="22" t="s">
        <v>57</v>
      </c>
      <c r="F4" s="22" t="str">
        <f>IFERROR(INDEX(Products!$B$2:$B$31,MATCH(E4,Products!$A$2:$A$31,0)),"Unknown")</f>
        <v>Smartwatch</v>
      </c>
      <c r="G4" s="22" t="str">
        <f>IFERROR(INDEX(Products!$C$2:$C$31,MATCH(E4,Products!$A$2:$A$31,0)),"Unknown")</f>
        <v>Electronics</v>
      </c>
      <c r="H4" s="23">
        <v>45296</v>
      </c>
      <c r="I4" s="22">
        <f t="shared" si="0"/>
        <v>1</v>
      </c>
      <c r="J4" s="22" t="str">
        <f t="shared" si="1"/>
        <v>Jan</v>
      </c>
      <c r="K4" s="22" t="str">
        <f t="shared" si="2"/>
        <v>Q1</v>
      </c>
      <c r="L4" s="22">
        <v>8</v>
      </c>
      <c r="M4" s="24">
        <v>1701.73</v>
      </c>
      <c r="N4" s="25">
        <v>0.1</v>
      </c>
      <c r="O4" s="24">
        <f>IFERROR(INDEX(Products!$D$2:$D$31,MATCH(E4,Products!$A$2:$A$31,0)),0)</f>
        <v>1190.42</v>
      </c>
      <c r="P4" s="24">
        <f t="shared" si="3"/>
        <v>12252.46</v>
      </c>
      <c r="Q4" s="24">
        <f t="shared" si="4"/>
        <v>2729.1</v>
      </c>
      <c r="R4" s="26">
        <f t="shared" si="5"/>
        <v>0.22273894385290791</v>
      </c>
      <c r="S4" s="22" t="str">
        <f t="shared" si="6"/>
        <v>Bulk</v>
      </c>
      <c r="T4" s="27" t="str">
        <f t="shared" si="7"/>
        <v>Medium</v>
      </c>
    </row>
    <row r="5" spans="1:20" ht="14.25" customHeight="1" x14ac:dyDescent="0.3">
      <c r="A5" s="21" t="s">
        <v>58</v>
      </c>
      <c r="B5" s="22" t="s">
        <v>59</v>
      </c>
      <c r="C5" s="22" t="str">
        <f>IFERROR(INDEX(Customers!$B$2:$B$31,MATCH(B5,Customers!$A$2:$A$31,0)),"Unknown")</f>
        <v>Diya Reddy</v>
      </c>
      <c r="D5" s="22" t="str">
        <f>IFERROR(INDEX(Customers!$D$2:$D$31,MATCH(B5,Customers!$A$2:$A$31,0)),"Unknown")</f>
        <v>East</v>
      </c>
      <c r="E5" s="22" t="s">
        <v>60</v>
      </c>
      <c r="F5" s="22" t="str">
        <f>IFERROR(INDEX(Products!$B$2:$B$31,MATCH(E5,Products!$A$2:$A$31,0)),"Unknown")</f>
        <v>Self-Help Book</v>
      </c>
      <c r="G5" s="22" t="str">
        <f>IFERROR(INDEX(Products!$C$2:$C$31,MATCH(E5,Products!$A$2:$A$31,0)),"Unknown")</f>
        <v>Books</v>
      </c>
      <c r="H5" s="23">
        <v>45296</v>
      </c>
      <c r="I5" s="22">
        <f t="shared" si="0"/>
        <v>1</v>
      </c>
      <c r="J5" s="22" t="str">
        <f t="shared" si="1"/>
        <v>Jan</v>
      </c>
      <c r="K5" s="22" t="str">
        <f t="shared" si="2"/>
        <v>Q1</v>
      </c>
      <c r="L5" s="22">
        <v>2</v>
      </c>
      <c r="M5" s="24">
        <v>2508.38</v>
      </c>
      <c r="N5" s="25">
        <v>0</v>
      </c>
      <c r="O5" s="24">
        <f>IFERROR(INDEX(Products!$D$2:$D$31,MATCH(E5,Products!$A$2:$A$31,0)),0)</f>
        <v>1598.42</v>
      </c>
      <c r="P5" s="24">
        <f t="shared" si="3"/>
        <v>5016.76</v>
      </c>
      <c r="Q5" s="24">
        <f t="shared" si="4"/>
        <v>1819.92</v>
      </c>
      <c r="R5" s="26">
        <f t="shared" si="5"/>
        <v>0.36276800165844092</v>
      </c>
      <c r="S5" s="22" t="str">
        <f t="shared" si="6"/>
        <v>Regular</v>
      </c>
      <c r="T5" s="27" t="str">
        <f t="shared" si="7"/>
        <v>High</v>
      </c>
    </row>
    <row r="6" spans="1:20" ht="14.25" customHeight="1" x14ac:dyDescent="0.3">
      <c r="A6" s="21" t="s">
        <v>61</v>
      </c>
      <c r="B6" s="22" t="s">
        <v>62</v>
      </c>
      <c r="C6" s="22" t="str">
        <f>IFERROR(INDEX(Customers!$B$2:$B$31,MATCH(B6,Customers!$A$2:$A$31,0)),"Unknown")</f>
        <v>Ira Singh</v>
      </c>
      <c r="D6" s="22" t="str">
        <f>IFERROR(INDEX(Customers!$D$2:$D$31,MATCH(B6,Customers!$A$2:$A$31,0)),"Unknown")</f>
        <v>West</v>
      </c>
      <c r="E6" s="22" t="s">
        <v>63</v>
      </c>
      <c r="F6" s="22" t="str">
        <f>IFERROR(INDEX(Products!$B$2:$B$31,MATCH(E6,Products!$A$2:$A$31,0)),"Unknown")</f>
        <v>Power Bank</v>
      </c>
      <c r="G6" s="22" t="str">
        <f>IFERROR(INDEX(Products!$C$2:$C$31,MATCH(E6,Products!$A$2:$A$31,0)),"Unknown")</f>
        <v>Electronics</v>
      </c>
      <c r="H6" s="23">
        <v>45298</v>
      </c>
      <c r="I6" s="22">
        <f t="shared" si="0"/>
        <v>1</v>
      </c>
      <c r="J6" s="22" t="str">
        <f t="shared" si="1"/>
        <v>Jan</v>
      </c>
      <c r="K6" s="22" t="str">
        <f t="shared" si="2"/>
        <v>Q1</v>
      </c>
      <c r="L6" s="22">
        <v>5</v>
      </c>
      <c r="M6" s="24">
        <v>981.46</v>
      </c>
      <c r="N6" s="25">
        <v>0.05</v>
      </c>
      <c r="O6" s="24">
        <f>IFERROR(INDEX(Products!$D$2:$D$31,MATCH(E6,Products!$A$2:$A$31,0)),0)</f>
        <v>721.01</v>
      </c>
      <c r="P6" s="24">
        <f t="shared" si="3"/>
        <v>4661.9399999999996</v>
      </c>
      <c r="Q6" s="24">
        <f t="shared" si="4"/>
        <v>1056.8900000000001</v>
      </c>
      <c r="R6" s="26">
        <f t="shared" si="5"/>
        <v>0.2267060494129054</v>
      </c>
      <c r="S6" s="22" t="str">
        <f t="shared" si="6"/>
        <v>Bulk</v>
      </c>
      <c r="T6" s="27" t="str">
        <f t="shared" si="7"/>
        <v>Medium</v>
      </c>
    </row>
    <row r="7" spans="1:20" ht="14.25" customHeight="1" x14ac:dyDescent="0.3">
      <c r="A7" s="21" t="s">
        <v>64</v>
      </c>
      <c r="B7" s="22" t="s">
        <v>65</v>
      </c>
      <c r="C7" s="22" t="str">
        <f>IFERROR(INDEX(Customers!$B$2:$B$31,MATCH(B7,Customers!$A$2:$A$31,0)),"Unknown")</f>
        <v>Sana Singh</v>
      </c>
      <c r="D7" s="22" t="str">
        <f>IFERROR(INDEX(Customers!$D$2:$D$31,MATCH(B7,Customers!$A$2:$A$31,0)),"Unknown")</f>
        <v>North</v>
      </c>
      <c r="E7" s="22" t="s">
        <v>66</v>
      </c>
      <c r="F7" s="22" t="str">
        <f>IFERROR(INDEX(Products!$B$2:$B$31,MATCH(E7,Products!$A$2:$A$31,0)),"Unknown")</f>
        <v>USB-C Cable</v>
      </c>
      <c r="G7" s="22" t="str">
        <f>IFERROR(INDEX(Products!$C$2:$C$31,MATCH(E7,Products!$A$2:$A$31,0)),"Unknown")</f>
        <v>Electronics</v>
      </c>
      <c r="H7" s="23">
        <v>45299</v>
      </c>
      <c r="I7" s="22">
        <f t="shared" si="0"/>
        <v>1</v>
      </c>
      <c r="J7" s="22" t="str">
        <f t="shared" si="1"/>
        <v>Jan</v>
      </c>
      <c r="K7" s="22" t="str">
        <f t="shared" si="2"/>
        <v>Q1</v>
      </c>
      <c r="L7" s="22">
        <v>6</v>
      </c>
      <c r="M7" s="24">
        <v>1018.98</v>
      </c>
      <c r="N7" s="25">
        <v>0</v>
      </c>
      <c r="O7" s="24">
        <f>IFERROR(INDEX(Products!$D$2:$D$31,MATCH(E7,Products!$A$2:$A$31,0)),0)</f>
        <v>676.84</v>
      </c>
      <c r="P7" s="24">
        <f t="shared" si="3"/>
        <v>6113.88</v>
      </c>
      <c r="Q7" s="24">
        <f t="shared" si="4"/>
        <v>2052.84</v>
      </c>
      <c r="R7" s="26">
        <f t="shared" si="5"/>
        <v>0.33576713968870836</v>
      </c>
      <c r="S7" s="22" t="str">
        <f t="shared" si="6"/>
        <v>Bulk</v>
      </c>
      <c r="T7" s="27" t="str">
        <f t="shared" si="7"/>
        <v>High</v>
      </c>
    </row>
    <row r="8" spans="1:20" ht="14.25" customHeight="1" x14ac:dyDescent="0.3">
      <c r="A8" s="21" t="s">
        <v>67</v>
      </c>
      <c r="B8" s="22" t="s">
        <v>68</v>
      </c>
      <c r="C8" s="22" t="str">
        <f>IFERROR(INDEX(Customers!$B$2:$B$31,MATCH(B8,Customers!$A$2:$A$31,0)),"Unknown")</f>
        <v>Neha Khan</v>
      </c>
      <c r="D8" s="22" t="str">
        <f>IFERROR(INDEX(Customers!$D$2:$D$31,MATCH(B8,Customers!$A$2:$A$31,0)),"Unknown")</f>
        <v>East</v>
      </c>
      <c r="E8" s="22" t="s">
        <v>69</v>
      </c>
      <c r="F8" s="22" t="str">
        <f>IFERROR(INDEX(Products!$B$2:$B$31,MATCH(E8,Products!$A$2:$A$31,0)),"Unknown")</f>
        <v>Non-Stick Pan</v>
      </c>
      <c r="G8" s="22" t="str">
        <f>IFERROR(INDEX(Products!$C$2:$C$31,MATCH(E8,Products!$A$2:$A$31,0)),"Unknown")</f>
        <v>Home &amp; Kitchen</v>
      </c>
      <c r="H8" s="23">
        <v>45300</v>
      </c>
      <c r="I8" s="22">
        <f t="shared" si="0"/>
        <v>1</v>
      </c>
      <c r="J8" s="22" t="str">
        <f t="shared" si="1"/>
        <v>Jan</v>
      </c>
      <c r="K8" s="22" t="str">
        <f t="shared" si="2"/>
        <v>Q1</v>
      </c>
      <c r="L8" s="22">
        <v>3</v>
      </c>
      <c r="M8" s="24">
        <v>775.31</v>
      </c>
      <c r="N8" s="25">
        <v>0</v>
      </c>
      <c r="O8" s="24">
        <f>IFERROR(INDEX(Products!$D$2:$D$31,MATCH(E8,Products!$A$2:$A$31,0)),0)</f>
        <v>610.76</v>
      </c>
      <c r="P8" s="24">
        <f t="shared" si="3"/>
        <v>2325.9299999999998</v>
      </c>
      <c r="Q8" s="24">
        <f t="shared" si="4"/>
        <v>493.65</v>
      </c>
      <c r="R8" s="26">
        <f t="shared" si="5"/>
        <v>0.21223768557093292</v>
      </c>
      <c r="S8" s="22" t="str">
        <f t="shared" si="6"/>
        <v>Regular</v>
      </c>
      <c r="T8" s="27" t="str">
        <f t="shared" si="7"/>
        <v>Medium</v>
      </c>
    </row>
    <row r="9" spans="1:20" ht="14.25" customHeight="1" x14ac:dyDescent="0.3">
      <c r="A9" s="21" t="s">
        <v>70</v>
      </c>
      <c r="B9" s="22" t="s">
        <v>71</v>
      </c>
      <c r="C9" s="22" t="str">
        <f>IFERROR(INDEX(Customers!$B$2:$B$31,MATCH(B9,Customers!$A$2:$A$31,0)),"Unknown")</f>
        <v>Imran Mehta</v>
      </c>
      <c r="D9" s="22" t="str">
        <f>IFERROR(INDEX(Customers!$D$2:$D$31,MATCH(B9,Customers!$A$2:$A$31,0)),"Unknown")</f>
        <v>Central</v>
      </c>
      <c r="E9" s="22" t="s">
        <v>72</v>
      </c>
      <c r="F9" s="22" t="str">
        <f>IFERROR(INDEX(Products!$B$2:$B$31,MATCH(E9,Products!$A$2:$A$31,0)),"Unknown")</f>
        <v>Cricket Bat</v>
      </c>
      <c r="G9" s="22" t="str">
        <f>IFERROR(INDEX(Products!$C$2:$C$31,MATCH(E9,Products!$A$2:$A$31,0)),"Unknown")</f>
        <v>Sports</v>
      </c>
      <c r="H9" s="23">
        <v>45302</v>
      </c>
      <c r="I9" s="22">
        <f t="shared" si="0"/>
        <v>1</v>
      </c>
      <c r="J9" s="22" t="str">
        <f t="shared" si="1"/>
        <v>Jan</v>
      </c>
      <c r="K9" s="22" t="str">
        <f t="shared" si="2"/>
        <v>Q1</v>
      </c>
      <c r="L9" s="22">
        <v>3</v>
      </c>
      <c r="M9" s="24">
        <v>2293.59</v>
      </c>
      <c r="N9" s="25">
        <v>0.05</v>
      </c>
      <c r="O9" s="24">
        <f>IFERROR(INDEX(Products!$D$2:$D$31,MATCH(E9,Products!$A$2:$A$31,0)),0)</f>
        <v>1824.15</v>
      </c>
      <c r="P9" s="24">
        <f t="shared" si="3"/>
        <v>6536.73</v>
      </c>
      <c r="Q9" s="24">
        <f t="shared" si="4"/>
        <v>1064.28</v>
      </c>
      <c r="R9" s="26">
        <f t="shared" si="5"/>
        <v>0.16281535263044367</v>
      </c>
      <c r="S9" s="22" t="str">
        <f t="shared" si="6"/>
        <v>Regular</v>
      </c>
      <c r="T9" s="27" t="str">
        <f t="shared" si="7"/>
        <v>Medium</v>
      </c>
    </row>
    <row r="10" spans="1:20" ht="14.25" customHeight="1" x14ac:dyDescent="0.3">
      <c r="A10" s="21" t="s">
        <v>73</v>
      </c>
      <c r="B10" s="22" t="s">
        <v>59</v>
      </c>
      <c r="C10" s="22" t="str">
        <f>IFERROR(INDEX(Customers!$B$2:$B$31,MATCH(B10,Customers!$A$2:$A$31,0)),"Unknown")</f>
        <v>Diya Reddy</v>
      </c>
      <c r="D10" s="22" t="str">
        <f>IFERROR(INDEX(Customers!$D$2:$D$31,MATCH(B10,Customers!$A$2:$A$31,0)),"Unknown")</f>
        <v>East</v>
      </c>
      <c r="E10" s="22" t="s">
        <v>74</v>
      </c>
      <c r="F10" s="22" t="str">
        <f>IFERROR(INDEX(Products!$B$2:$B$31,MATCH(E10,Products!$A$2:$A$31,0)),"Unknown")</f>
        <v>Notebook Set</v>
      </c>
      <c r="G10" s="22" t="str">
        <f>IFERROR(INDEX(Products!$C$2:$C$31,MATCH(E10,Products!$A$2:$A$31,0)),"Unknown")</f>
        <v>Books</v>
      </c>
      <c r="H10" s="23">
        <v>45302</v>
      </c>
      <c r="I10" s="22">
        <f t="shared" si="0"/>
        <v>1</v>
      </c>
      <c r="J10" s="22" t="str">
        <f t="shared" si="1"/>
        <v>Jan</v>
      </c>
      <c r="K10" s="22" t="str">
        <f t="shared" si="2"/>
        <v>Q1</v>
      </c>
      <c r="L10" s="22">
        <v>1</v>
      </c>
      <c r="M10" s="24">
        <v>351.56</v>
      </c>
      <c r="N10" s="25">
        <v>0</v>
      </c>
      <c r="O10" s="24">
        <f>IFERROR(INDEX(Products!$D$2:$D$31,MATCH(E10,Products!$A$2:$A$31,0)),0)</f>
        <v>233.74</v>
      </c>
      <c r="P10" s="24">
        <f t="shared" si="3"/>
        <v>351.56</v>
      </c>
      <c r="Q10" s="24">
        <f t="shared" si="4"/>
        <v>117.82</v>
      </c>
      <c r="R10" s="26">
        <f t="shared" si="5"/>
        <v>0.33513482762544089</v>
      </c>
      <c r="S10" s="22" t="str">
        <f t="shared" si="6"/>
        <v>Regular</v>
      </c>
      <c r="T10" s="27" t="str">
        <f t="shared" si="7"/>
        <v>High</v>
      </c>
    </row>
    <row r="11" spans="1:20" ht="14.25" customHeight="1" x14ac:dyDescent="0.3">
      <c r="A11" s="21" t="s">
        <v>75</v>
      </c>
      <c r="B11" s="22" t="s">
        <v>76</v>
      </c>
      <c r="C11" s="22" t="str">
        <f>IFERROR(INDEX(Customers!$B$2:$B$31,MATCH(B11,Customers!$A$2:$A$31,0)),"Unknown")</f>
        <v>Aisha Sharma</v>
      </c>
      <c r="D11" s="22" t="str">
        <f>IFERROR(INDEX(Customers!$D$2:$D$31,MATCH(B11,Customers!$A$2:$A$31,0)),"Unknown")</f>
        <v>Central</v>
      </c>
      <c r="E11" s="22" t="s">
        <v>77</v>
      </c>
      <c r="F11" s="22" t="str">
        <f>IFERROR(INDEX(Products!$B$2:$B$31,MATCH(E11,Products!$A$2:$A$31,0)),"Unknown")</f>
        <v>Fiction Novel</v>
      </c>
      <c r="G11" s="22" t="str">
        <f>IFERROR(INDEX(Products!$C$2:$C$31,MATCH(E11,Products!$A$2:$A$31,0)),"Unknown")</f>
        <v>Books</v>
      </c>
      <c r="H11" s="23">
        <v>45306</v>
      </c>
      <c r="I11" s="22">
        <f t="shared" si="0"/>
        <v>1</v>
      </c>
      <c r="J11" s="22" t="str">
        <f t="shared" si="1"/>
        <v>Jan</v>
      </c>
      <c r="K11" s="22" t="str">
        <f t="shared" si="2"/>
        <v>Q1</v>
      </c>
      <c r="L11" s="22">
        <v>7</v>
      </c>
      <c r="M11" s="24">
        <v>449.39</v>
      </c>
      <c r="N11" s="25">
        <v>0.15</v>
      </c>
      <c r="O11" s="24">
        <f>IFERROR(INDEX(Products!$D$2:$D$31,MATCH(E11,Products!$A$2:$A$31,0)),0)</f>
        <v>345.35</v>
      </c>
      <c r="P11" s="24">
        <f t="shared" si="3"/>
        <v>2673.87</v>
      </c>
      <c r="Q11" s="24">
        <f t="shared" si="4"/>
        <v>256.42</v>
      </c>
      <c r="R11" s="26">
        <f t="shared" si="5"/>
        <v>9.5898454300321262E-2</v>
      </c>
      <c r="S11" s="22" t="str">
        <f t="shared" si="6"/>
        <v>Bulk</v>
      </c>
      <c r="T11" s="27" t="str">
        <f t="shared" si="7"/>
        <v>Low</v>
      </c>
    </row>
    <row r="12" spans="1:20" ht="14.25" customHeight="1" x14ac:dyDescent="0.3">
      <c r="A12" s="21" t="s">
        <v>78</v>
      </c>
      <c r="B12" s="22" t="s">
        <v>79</v>
      </c>
      <c r="C12" s="22" t="str">
        <f>IFERROR(INDEX(Customers!$B$2:$B$31,MATCH(B12,Customers!$A$2:$A$31,0)),"Unknown")</f>
        <v>Imran Iyer</v>
      </c>
      <c r="D12" s="22" t="str">
        <f>IFERROR(INDEX(Customers!$D$2:$D$31,MATCH(B12,Customers!$A$2:$A$31,0)),"Unknown")</f>
        <v>North</v>
      </c>
      <c r="E12" s="22" t="s">
        <v>80</v>
      </c>
      <c r="F12" s="22" t="str">
        <f>IFERROR(INDEX(Products!$B$2:$B$31,MATCH(E12,Products!$A$2:$A$31,0)),"Unknown")</f>
        <v>Dumbbell Set</v>
      </c>
      <c r="G12" s="22" t="str">
        <f>IFERROR(INDEX(Products!$C$2:$C$31,MATCH(E12,Products!$A$2:$A$31,0)),"Unknown")</f>
        <v>Sports</v>
      </c>
      <c r="H12" s="23">
        <v>45306</v>
      </c>
      <c r="I12" s="22">
        <f t="shared" si="0"/>
        <v>1</v>
      </c>
      <c r="J12" s="22" t="str">
        <f t="shared" si="1"/>
        <v>Jan</v>
      </c>
      <c r="K12" s="22" t="str">
        <f t="shared" si="2"/>
        <v>Q1</v>
      </c>
      <c r="L12" s="22">
        <v>1</v>
      </c>
      <c r="M12" s="24">
        <v>1787.75</v>
      </c>
      <c r="N12" s="25">
        <v>0</v>
      </c>
      <c r="O12" s="24">
        <f>IFERROR(INDEX(Products!$D$2:$D$31,MATCH(E12,Products!$A$2:$A$31,0)),0)</f>
        <v>1379.47</v>
      </c>
      <c r="P12" s="24">
        <f t="shared" si="3"/>
        <v>1787.75</v>
      </c>
      <c r="Q12" s="24">
        <f t="shared" si="4"/>
        <v>408.28</v>
      </c>
      <c r="R12" s="26">
        <f t="shared" si="5"/>
        <v>0.2283764508460355</v>
      </c>
      <c r="S12" s="22" t="str">
        <f t="shared" si="6"/>
        <v>Regular</v>
      </c>
      <c r="T12" s="27" t="str">
        <f t="shared" si="7"/>
        <v>Medium</v>
      </c>
    </row>
    <row r="13" spans="1:20" ht="14.25" customHeight="1" x14ac:dyDescent="0.3">
      <c r="A13" s="21" t="s">
        <v>81</v>
      </c>
      <c r="B13" s="22" t="s">
        <v>76</v>
      </c>
      <c r="C13" s="22" t="str">
        <f>IFERROR(INDEX(Customers!$B$2:$B$31,MATCH(B13,Customers!$A$2:$A$31,0)),"Unknown")</f>
        <v>Aisha Sharma</v>
      </c>
      <c r="D13" s="22" t="str">
        <f>IFERROR(INDEX(Customers!$D$2:$D$31,MATCH(B13,Customers!$A$2:$A$31,0)),"Unknown")</f>
        <v>Central</v>
      </c>
      <c r="E13" s="22" t="s">
        <v>82</v>
      </c>
      <c r="F13" s="22" t="str">
        <f>IFERROR(INDEX(Products!$B$2:$B$31,MATCH(E13,Products!$A$2:$A$31,0)),"Unknown")</f>
        <v>Hoodie</v>
      </c>
      <c r="G13" s="22" t="str">
        <f>IFERROR(INDEX(Products!$C$2:$C$31,MATCH(E13,Products!$A$2:$A$31,0)),"Unknown")</f>
        <v>Apparel</v>
      </c>
      <c r="H13" s="23">
        <v>45308</v>
      </c>
      <c r="I13" s="22">
        <f t="shared" si="0"/>
        <v>1</v>
      </c>
      <c r="J13" s="22" t="str">
        <f t="shared" si="1"/>
        <v>Jan</v>
      </c>
      <c r="K13" s="22" t="str">
        <f t="shared" si="2"/>
        <v>Q1</v>
      </c>
      <c r="L13" s="22">
        <v>6</v>
      </c>
      <c r="M13" s="24">
        <v>2810.89</v>
      </c>
      <c r="N13" s="25">
        <v>0.05</v>
      </c>
      <c r="O13" s="24">
        <f>IFERROR(INDEX(Products!$D$2:$D$31,MATCH(E13,Products!$A$2:$A$31,0)),0)</f>
        <v>2252.73</v>
      </c>
      <c r="P13" s="24">
        <f t="shared" si="3"/>
        <v>16022.07</v>
      </c>
      <c r="Q13" s="24">
        <f t="shared" si="4"/>
        <v>2505.69</v>
      </c>
      <c r="R13" s="26">
        <f t="shared" si="5"/>
        <v>0.15638990467523861</v>
      </c>
      <c r="S13" s="22" t="str">
        <f t="shared" si="6"/>
        <v>Bulk</v>
      </c>
      <c r="T13" s="27" t="str">
        <f t="shared" si="7"/>
        <v>Medium</v>
      </c>
    </row>
    <row r="14" spans="1:20" ht="14.25" customHeight="1" x14ac:dyDescent="0.3">
      <c r="A14" s="21" t="s">
        <v>83</v>
      </c>
      <c r="B14" s="22" t="s">
        <v>84</v>
      </c>
      <c r="C14" s="22" t="str">
        <f>IFERROR(INDEX(Customers!$B$2:$B$31,MATCH(B14,Customers!$A$2:$A$31,0)),"Unknown")</f>
        <v>Aditya Khan</v>
      </c>
      <c r="D14" s="22" t="str">
        <f>IFERROR(INDEX(Customers!$D$2:$D$31,MATCH(B14,Customers!$A$2:$A$31,0)),"Unknown")</f>
        <v>North</v>
      </c>
      <c r="E14" s="22" t="s">
        <v>54</v>
      </c>
      <c r="F14" s="22" t="str">
        <f>IFERROR(INDEX(Products!$B$2:$B$31,MATCH(E14,Products!$A$2:$A$31,0)),"Unknown")</f>
        <v>Bluetooth Speaker</v>
      </c>
      <c r="G14" s="22" t="str">
        <f>IFERROR(INDEX(Products!$C$2:$C$31,MATCH(E14,Products!$A$2:$A$31,0)),"Unknown")</f>
        <v>Electronics</v>
      </c>
      <c r="H14" s="23">
        <v>45311</v>
      </c>
      <c r="I14" s="22">
        <f t="shared" si="0"/>
        <v>1</v>
      </c>
      <c r="J14" s="22" t="str">
        <f t="shared" si="1"/>
        <v>Jan</v>
      </c>
      <c r="K14" s="22" t="str">
        <f t="shared" si="2"/>
        <v>Q1</v>
      </c>
      <c r="L14" s="22">
        <v>5</v>
      </c>
      <c r="M14" s="24">
        <v>3664.93</v>
      </c>
      <c r="N14" s="25">
        <v>0</v>
      </c>
      <c r="O14" s="24">
        <f>IFERROR(INDEX(Products!$D$2:$D$31,MATCH(E14,Products!$A$2:$A$31,0)),0)</f>
        <v>2293.21</v>
      </c>
      <c r="P14" s="24">
        <f t="shared" si="3"/>
        <v>18324.650000000001</v>
      </c>
      <c r="Q14" s="24">
        <f t="shared" si="4"/>
        <v>6858.6</v>
      </c>
      <c r="R14" s="26">
        <f t="shared" si="5"/>
        <v>0.3742827284559323</v>
      </c>
      <c r="S14" s="22" t="str">
        <f t="shared" si="6"/>
        <v>Bulk</v>
      </c>
      <c r="T14" s="27" t="str">
        <f t="shared" si="7"/>
        <v>High</v>
      </c>
    </row>
    <row r="15" spans="1:20" ht="14.25" customHeight="1" x14ac:dyDescent="0.3">
      <c r="A15" s="21" t="s">
        <v>85</v>
      </c>
      <c r="B15" s="22" t="s">
        <v>79</v>
      </c>
      <c r="C15" s="22" t="str">
        <f>IFERROR(INDEX(Customers!$B$2:$B$31,MATCH(B15,Customers!$A$2:$A$31,0)),"Unknown")</f>
        <v>Imran Iyer</v>
      </c>
      <c r="D15" s="22" t="str">
        <f>IFERROR(INDEX(Customers!$D$2:$D$31,MATCH(B15,Customers!$A$2:$A$31,0)),"Unknown")</f>
        <v>North</v>
      </c>
      <c r="E15" s="22" t="s">
        <v>86</v>
      </c>
      <c r="F15" s="22" t="str">
        <f>IFERROR(INDEX(Products!$B$2:$B$31,MATCH(E15,Products!$A$2:$A$31,0)),"Unknown")</f>
        <v>Electric Kettle</v>
      </c>
      <c r="G15" s="22" t="str">
        <f>IFERROR(INDEX(Products!$C$2:$C$31,MATCH(E15,Products!$A$2:$A$31,0)),"Unknown")</f>
        <v>Home &amp; Kitchen</v>
      </c>
      <c r="H15" s="23">
        <v>45312</v>
      </c>
      <c r="I15" s="22">
        <f t="shared" si="0"/>
        <v>1</v>
      </c>
      <c r="J15" s="22" t="str">
        <f t="shared" si="1"/>
        <v>Jan</v>
      </c>
      <c r="K15" s="22" t="str">
        <f t="shared" si="2"/>
        <v>Q1</v>
      </c>
      <c r="L15" s="22">
        <v>6</v>
      </c>
      <c r="M15" s="24">
        <v>3103.92</v>
      </c>
      <c r="N15" s="25">
        <v>0</v>
      </c>
      <c r="O15" s="24">
        <f>IFERROR(INDEX(Products!$D$2:$D$31,MATCH(E15,Products!$A$2:$A$31,0)),0)</f>
        <v>2494.04</v>
      </c>
      <c r="P15" s="24">
        <f t="shared" si="3"/>
        <v>18623.52</v>
      </c>
      <c r="Q15" s="24">
        <f t="shared" si="4"/>
        <v>3659.28</v>
      </c>
      <c r="R15" s="26">
        <f t="shared" si="5"/>
        <v>0.19648702286141395</v>
      </c>
      <c r="S15" s="22" t="str">
        <f t="shared" si="6"/>
        <v>Bulk</v>
      </c>
      <c r="T15" s="27" t="str">
        <f t="shared" si="7"/>
        <v>Medium</v>
      </c>
    </row>
    <row r="16" spans="1:20" ht="14.25" customHeight="1" x14ac:dyDescent="0.3">
      <c r="A16" s="21" t="s">
        <v>87</v>
      </c>
      <c r="B16" s="22" t="s">
        <v>88</v>
      </c>
      <c r="C16" s="22" t="str">
        <f>IFERROR(INDEX(Customers!$B$2:$B$31,MATCH(B16,Customers!$A$2:$A$31,0)),"Unknown")</f>
        <v>Zara Khan</v>
      </c>
      <c r="D16" s="22" t="str">
        <f>IFERROR(INDEX(Customers!$D$2:$D$31,MATCH(B16,Customers!$A$2:$A$31,0)),"Unknown")</f>
        <v>North</v>
      </c>
      <c r="E16" s="22" t="s">
        <v>63</v>
      </c>
      <c r="F16" s="22" t="str">
        <f>IFERROR(INDEX(Products!$B$2:$B$31,MATCH(E16,Products!$A$2:$A$31,0)),"Unknown")</f>
        <v>Power Bank</v>
      </c>
      <c r="G16" s="22" t="str">
        <f>IFERROR(INDEX(Products!$C$2:$C$31,MATCH(E16,Products!$A$2:$A$31,0)),"Unknown")</f>
        <v>Electronics</v>
      </c>
      <c r="H16" s="23">
        <v>45317</v>
      </c>
      <c r="I16" s="22">
        <f t="shared" si="0"/>
        <v>1</v>
      </c>
      <c r="J16" s="22" t="str">
        <f t="shared" si="1"/>
        <v>Jan</v>
      </c>
      <c r="K16" s="22" t="str">
        <f t="shared" si="2"/>
        <v>Q1</v>
      </c>
      <c r="L16" s="22">
        <v>1</v>
      </c>
      <c r="M16" s="24">
        <v>1143.56</v>
      </c>
      <c r="N16" s="25">
        <v>0.2</v>
      </c>
      <c r="O16" s="24">
        <f>IFERROR(INDEX(Products!$D$2:$D$31,MATCH(E16,Products!$A$2:$A$31,0)),0)</f>
        <v>721.01</v>
      </c>
      <c r="P16" s="24">
        <f t="shared" si="3"/>
        <v>914.85</v>
      </c>
      <c r="Q16" s="24">
        <f t="shared" si="4"/>
        <v>193.84</v>
      </c>
      <c r="R16" s="26">
        <f t="shared" si="5"/>
        <v>0.21188172924523146</v>
      </c>
      <c r="S16" s="22" t="str">
        <f t="shared" si="6"/>
        <v>Regular</v>
      </c>
      <c r="T16" s="27" t="str">
        <f t="shared" si="7"/>
        <v>Medium</v>
      </c>
    </row>
    <row r="17" spans="1:20" ht="14.25" customHeight="1" x14ac:dyDescent="0.3">
      <c r="A17" s="21" t="s">
        <v>89</v>
      </c>
      <c r="B17" s="22" t="s">
        <v>90</v>
      </c>
      <c r="C17" s="22" t="str">
        <f>IFERROR(INDEX(Customers!$B$2:$B$31,MATCH(B17,Customers!$A$2:$A$31,0)),"Unknown")</f>
        <v>Ayaan Chatterjee</v>
      </c>
      <c r="D17" s="22" t="str">
        <f>IFERROR(INDEX(Customers!$D$2:$D$31,MATCH(B17,Customers!$A$2:$A$31,0)),"Unknown")</f>
        <v>West</v>
      </c>
      <c r="E17" s="22" t="s">
        <v>91</v>
      </c>
      <c r="F17" s="22" t="str">
        <f>IFERROR(INDEX(Products!$B$2:$B$31,MATCH(E17,Products!$A$2:$A$31,0)),"Unknown")</f>
        <v>Hair Oil</v>
      </c>
      <c r="G17" s="22" t="str">
        <f>IFERROR(INDEX(Products!$C$2:$C$31,MATCH(E17,Products!$A$2:$A$31,0)),"Unknown")</f>
        <v>Beauty</v>
      </c>
      <c r="H17" s="23">
        <v>45317</v>
      </c>
      <c r="I17" s="22">
        <f t="shared" si="0"/>
        <v>1</v>
      </c>
      <c r="J17" s="22" t="str">
        <f t="shared" si="1"/>
        <v>Jan</v>
      </c>
      <c r="K17" s="22" t="str">
        <f t="shared" si="2"/>
        <v>Q1</v>
      </c>
      <c r="L17" s="22">
        <v>8</v>
      </c>
      <c r="M17" s="24">
        <v>3705.22</v>
      </c>
      <c r="N17" s="25">
        <v>0</v>
      </c>
      <c r="O17" s="24">
        <f>IFERROR(INDEX(Products!$D$2:$D$31,MATCH(E17,Products!$A$2:$A$31,0)),0)</f>
        <v>2430.0100000000002</v>
      </c>
      <c r="P17" s="24">
        <f t="shared" si="3"/>
        <v>29641.759999999998</v>
      </c>
      <c r="Q17" s="24">
        <f t="shared" si="4"/>
        <v>10201.68</v>
      </c>
      <c r="R17" s="26">
        <f t="shared" si="5"/>
        <v>0.34416579852208506</v>
      </c>
      <c r="S17" s="22" t="str">
        <f t="shared" si="6"/>
        <v>Bulk</v>
      </c>
      <c r="T17" s="27" t="str">
        <f t="shared" si="7"/>
        <v>High</v>
      </c>
    </row>
    <row r="18" spans="1:20" ht="14.25" customHeight="1" x14ac:dyDescent="0.3">
      <c r="A18" s="21" t="s">
        <v>92</v>
      </c>
      <c r="B18" s="22" t="s">
        <v>93</v>
      </c>
      <c r="C18" s="22" t="str">
        <f>IFERROR(INDEX(Customers!$B$2:$B$31,MATCH(B18,Customers!$A$2:$A$31,0)),"Unknown")</f>
        <v>Karan Kapoor</v>
      </c>
      <c r="D18" s="22" t="str">
        <f>IFERROR(INDEX(Customers!$D$2:$D$31,MATCH(B18,Customers!$A$2:$A$31,0)),"Unknown")</f>
        <v>South</v>
      </c>
      <c r="E18" s="22" t="s">
        <v>94</v>
      </c>
      <c r="F18" s="22" t="str">
        <f>IFERROR(INDEX(Products!$B$2:$B$31,MATCH(E18,Products!$A$2:$A$31,0)),"Unknown")</f>
        <v>Skipping Rope</v>
      </c>
      <c r="G18" s="22" t="str">
        <f>IFERROR(INDEX(Products!$C$2:$C$31,MATCH(E18,Products!$A$2:$A$31,0)),"Unknown")</f>
        <v>Sports</v>
      </c>
      <c r="H18" s="23">
        <v>45318</v>
      </c>
      <c r="I18" s="22">
        <f t="shared" si="0"/>
        <v>1</v>
      </c>
      <c r="J18" s="22" t="str">
        <f t="shared" si="1"/>
        <v>Jan</v>
      </c>
      <c r="K18" s="22" t="str">
        <f t="shared" si="2"/>
        <v>Q1</v>
      </c>
      <c r="L18" s="22">
        <v>2</v>
      </c>
      <c r="M18" s="24">
        <v>1041.72</v>
      </c>
      <c r="N18" s="25">
        <v>0.2</v>
      </c>
      <c r="O18" s="24">
        <f>IFERROR(INDEX(Products!$D$2:$D$31,MATCH(E18,Products!$A$2:$A$31,0)),0)</f>
        <v>725.72</v>
      </c>
      <c r="P18" s="24">
        <f t="shared" si="3"/>
        <v>1666.75</v>
      </c>
      <c r="Q18" s="24">
        <f t="shared" si="4"/>
        <v>215.31</v>
      </c>
      <c r="R18" s="26">
        <f t="shared" si="5"/>
        <v>0.12917954102294885</v>
      </c>
      <c r="S18" s="22" t="str">
        <f t="shared" si="6"/>
        <v>Regular</v>
      </c>
      <c r="T18" s="27" t="str">
        <f t="shared" si="7"/>
        <v>Low</v>
      </c>
    </row>
    <row r="19" spans="1:20" ht="14.25" customHeight="1" x14ac:dyDescent="0.3">
      <c r="A19" s="21" t="s">
        <v>95</v>
      </c>
      <c r="B19" s="22" t="s">
        <v>96</v>
      </c>
      <c r="C19" s="22" t="str">
        <f>IFERROR(INDEX(Customers!$B$2:$B$31,MATCH(B19,Customers!$A$2:$A$31,0)),"Unknown")</f>
        <v>Sai Khan</v>
      </c>
      <c r="D19" s="22" t="str">
        <f>IFERROR(INDEX(Customers!$D$2:$D$31,MATCH(B19,Customers!$A$2:$A$31,0)),"Unknown")</f>
        <v>East</v>
      </c>
      <c r="E19" s="22" t="s">
        <v>97</v>
      </c>
      <c r="F19" s="22" t="str">
        <f>IFERROR(INDEX(Products!$B$2:$B$31,MATCH(E19,Products!$A$2:$A$31,0)),"Unknown")</f>
        <v>Cotton T-Shirt</v>
      </c>
      <c r="G19" s="22" t="str">
        <f>IFERROR(INDEX(Products!$C$2:$C$31,MATCH(E19,Products!$A$2:$A$31,0)),"Unknown")</f>
        <v>Apparel</v>
      </c>
      <c r="H19" s="23">
        <v>45318</v>
      </c>
      <c r="I19" s="22">
        <f t="shared" si="0"/>
        <v>1</v>
      </c>
      <c r="J19" s="22" t="str">
        <f t="shared" si="1"/>
        <v>Jan</v>
      </c>
      <c r="K19" s="22" t="str">
        <f t="shared" si="2"/>
        <v>Q1</v>
      </c>
      <c r="L19" s="22">
        <v>5</v>
      </c>
      <c r="M19" s="24">
        <v>2263.46</v>
      </c>
      <c r="N19" s="25">
        <v>0.05</v>
      </c>
      <c r="O19" s="24">
        <f>IFERROR(INDEX(Products!$D$2:$D$31,MATCH(E19,Products!$A$2:$A$31,0)),0)</f>
        <v>1438.51</v>
      </c>
      <c r="P19" s="24">
        <f t="shared" si="3"/>
        <v>10751.44</v>
      </c>
      <c r="Q19" s="24">
        <f t="shared" si="4"/>
        <v>3558.89</v>
      </c>
      <c r="R19" s="26">
        <f t="shared" si="5"/>
        <v>0.33101519424374781</v>
      </c>
      <c r="S19" s="22" t="str">
        <f t="shared" si="6"/>
        <v>Bulk</v>
      </c>
      <c r="T19" s="27" t="str">
        <f t="shared" si="7"/>
        <v>High</v>
      </c>
    </row>
    <row r="20" spans="1:20" ht="14.25" customHeight="1" x14ac:dyDescent="0.3">
      <c r="A20" s="21" t="s">
        <v>98</v>
      </c>
      <c r="B20" s="22" t="s">
        <v>59</v>
      </c>
      <c r="C20" s="22" t="str">
        <f>IFERROR(INDEX(Customers!$B$2:$B$31,MATCH(B20,Customers!$A$2:$A$31,0)),"Unknown")</f>
        <v>Diya Reddy</v>
      </c>
      <c r="D20" s="22" t="str">
        <f>IFERROR(INDEX(Customers!$D$2:$D$31,MATCH(B20,Customers!$A$2:$A$31,0)),"Unknown")</f>
        <v>East</v>
      </c>
      <c r="E20" s="22" t="s">
        <v>99</v>
      </c>
      <c r="F20" s="22" t="str">
        <f>IFERROR(INDEX(Products!$B$2:$B$31,MATCH(E20,Products!$A$2:$A$31,0)),"Unknown")</f>
        <v>Moisturizer</v>
      </c>
      <c r="G20" s="22" t="str">
        <f>IFERROR(INDEX(Products!$C$2:$C$31,MATCH(E20,Products!$A$2:$A$31,0)),"Unknown")</f>
        <v>Beauty</v>
      </c>
      <c r="H20" s="23">
        <v>45319</v>
      </c>
      <c r="I20" s="22">
        <f t="shared" si="0"/>
        <v>1</v>
      </c>
      <c r="J20" s="22" t="str">
        <f t="shared" si="1"/>
        <v>Jan</v>
      </c>
      <c r="K20" s="22" t="str">
        <f t="shared" si="2"/>
        <v>Q1</v>
      </c>
      <c r="L20" s="22">
        <v>3</v>
      </c>
      <c r="M20" s="24">
        <v>3031.42</v>
      </c>
      <c r="N20" s="25">
        <v>0.1</v>
      </c>
      <c r="O20" s="24">
        <f>IFERROR(INDEX(Products!$D$2:$D$31,MATCH(E20,Products!$A$2:$A$31,0)),0)</f>
        <v>2490.61</v>
      </c>
      <c r="P20" s="24">
        <f t="shared" si="3"/>
        <v>8184.83</v>
      </c>
      <c r="Q20" s="24">
        <f t="shared" si="4"/>
        <v>713</v>
      </c>
      <c r="R20" s="26">
        <f t="shared" si="5"/>
        <v>8.7112377410404368E-2</v>
      </c>
      <c r="S20" s="22" t="str">
        <f t="shared" si="6"/>
        <v>Regular</v>
      </c>
      <c r="T20" s="27" t="str">
        <f t="shared" si="7"/>
        <v>Low</v>
      </c>
    </row>
    <row r="21" spans="1:20" ht="14.25" customHeight="1" x14ac:dyDescent="0.3">
      <c r="A21" s="21" t="s">
        <v>100</v>
      </c>
      <c r="B21" s="22" t="s">
        <v>101</v>
      </c>
      <c r="C21" s="22" t="str">
        <f>IFERROR(INDEX(Customers!$B$2:$B$31,MATCH(B21,Customers!$A$2:$A$31,0)),"Unknown")</f>
        <v>Ayaan Verma</v>
      </c>
      <c r="D21" s="22" t="str">
        <f>IFERROR(INDEX(Customers!$D$2:$D$31,MATCH(B21,Customers!$A$2:$A$31,0)),"Unknown")</f>
        <v>East</v>
      </c>
      <c r="E21" s="22" t="s">
        <v>102</v>
      </c>
      <c r="F21" s="22" t="str">
        <f>IFERROR(INDEX(Products!$B$2:$B$31,MATCH(E21,Products!$A$2:$A$31,0)),"Unknown")</f>
        <v>Storage Jars Set</v>
      </c>
      <c r="G21" s="22" t="str">
        <f>IFERROR(INDEX(Products!$C$2:$C$31,MATCH(E21,Products!$A$2:$A$31,0)),"Unknown")</f>
        <v>Home &amp; Kitchen</v>
      </c>
      <c r="H21" s="23">
        <v>45322</v>
      </c>
      <c r="I21" s="22">
        <f t="shared" si="0"/>
        <v>1</v>
      </c>
      <c r="J21" s="22" t="str">
        <f t="shared" si="1"/>
        <v>Jan</v>
      </c>
      <c r="K21" s="22" t="str">
        <f t="shared" si="2"/>
        <v>Q1</v>
      </c>
      <c r="L21" s="22">
        <v>3</v>
      </c>
      <c r="M21" s="24">
        <v>1733.93</v>
      </c>
      <c r="N21" s="25">
        <v>0.05</v>
      </c>
      <c r="O21" s="24">
        <f>IFERROR(INDEX(Products!$D$2:$D$31,MATCH(E21,Products!$A$2:$A$31,0)),0)</f>
        <v>1313.05</v>
      </c>
      <c r="P21" s="24">
        <f t="shared" si="3"/>
        <v>4941.7</v>
      </c>
      <c r="Q21" s="24">
        <f t="shared" si="4"/>
        <v>1002.55</v>
      </c>
      <c r="R21" s="26">
        <f t="shared" si="5"/>
        <v>0.20287552866422487</v>
      </c>
      <c r="S21" s="22" t="str">
        <f t="shared" si="6"/>
        <v>Regular</v>
      </c>
      <c r="T21" s="27" t="str">
        <f t="shared" si="7"/>
        <v>Medium</v>
      </c>
    </row>
    <row r="22" spans="1:20" ht="14.25" customHeight="1" x14ac:dyDescent="0.3">
      <c r="A22" s="21" t="s">
        <v>103</v>
      </c>
      <c r="B22" s="22" t="s">
        <v>104</v>
      </c>
      <c r="C22" s="22" t="str">
        <f>IFERROR(INDEX(Customers!$B$2:$B$31,MATCH(B22,Customers!$A$2:$A$31,0)),"Unknown")</f>
        <v>Ishaan Chatterjee</v>
      </c>
      <c r="D22" s="22" t="str">
        <f>IFERROR(INDEX(Customers!$D$2:$D$31,MATCH(B22,Customers!$A$2:$A$31,0)),"Unknown")</f>
        <v>West</v>
      </c>
      <c r="E22" s="22" t="s">
        <v>105</v>
      </c>
      <c r="F22" s="22" t="str">
        <f>IFERROR(INDEX(Products!$B$2:$B$31,MATCH(E22,Products!$A$2:$A$31,0)),"Unknown")</f>
        <v>LED Table Lamp</v>
      </c>
      <c r="G22" s="22" t="str">
        <f>IFERROR(INDEX(Products!$C$2:$C$31,MATCH(E22,Products!$A$2:$A$31,0)),"Unknown")</f>
        <v>Home &amp; Kitchen</v>
      </c>
      <c r="H22" s="23">
        <v>45323</v>
      </c>
      <c r="I22" s="22">
        <f t="shared" si="0"/>
        <v>2</v>
      </c>
      <c r="J22" s="22" t="str">
        <f t="shared" si="1"/>
        <v>Feb</v>
      </c>
      <c r="K22" s="22" t="str">
        <f t="shared" si="2"/>
        <v>Q1</v>
      </c>
      <c r="L22" s="22">
        <v>4</v>
      </c>
      <c r="M22" s="24">
        <v>457.44</v>
      </c>
      <c r="N22" s="25">
        <v>0.05</v>
      </c>
      <c r="O22" s="24">
        <f>IFERROR(INDEX(Products!$D$2:$D$31,MATCH(E22,Products!$A$2:$A$31,0)),0)</f>
        <v>300</v>
      </c>
      <c r="P22" s="24">
        <f t="shared" si="3"/>
        <v>1738.27</v>
      </c>
      <c r="Q22" s="24">
        <f t="shared" si="4"/>
        <v>538.27</v>
      </c>
      <c r="R22" s="26">
        <f t="shared" si="5"/>
        <v>0.30965845351987897</v>
      </c>
      <c r="S22" s="22" t="str">
        <f t="shared" si="6"/>
        <v>Regular</v>
      </c>
      <c r="T22" s="27" t="str">
        <f t="shared" si="7"/>
        <v>High</v>
      </c>
    </row>
    <row r="23" spans="1:20" ht="14.25" customHeight="1" x14ac:dyDescent="0.3">
      <c r="A23" s="21" t="s">
        <v>106</v>
      </c>
      <c r="B23" s="22" t="s">
        <v>107</v>
      </c>
      <c r="C23" s="22" t="str">
        <f>IFERROR(INDEX(Customers!$B$2:$B$31,MATCH(B23,Customers!$A$2:$A$31,0)),"Unknown")</f>
        <v>Mohammed Gupta</v>
      </c>
      <c r="D23" s="22" t="str">
        <f>IFERROR(INDEX(Customers!$D$2:$D$31,MATCH(B23,Customers!$A$2:$A$31,0)),"Unknown")</f>
        <v>North</v>
      </c>
      <c r="E23" s="22" t="s">
        <v>108</v>
      </c>
      <c r="F23" s="22" t="str">
        <f>IFERROR(INDEX(Products!$B$2:$B$31,MATCH(E23,Products!$A$2:$A$31,0)),"Unknown")</f>
        <v>Denim Jeans</v>
      </c>
      <c r="G23" s="22" t="str">
        <f>IFERROR(INDEX(Products!$C$2:$C$31,MATCH(E23,Products!$A$2:$A$31,0)),"Unknown")</f>
        <v>Apparel</v>
      </c>
      <c r="H23" s="23">
        <v>45324</v>
      </c>
      <c r="I23" s="22">
        <f t="shared" si="0"/>
        <v>2</v>
      </c>
      <c r="J23" s="22" t="str">
        <f t="shared" si="1"/>
        <v>Feb</v>
      </c>
      <c r="K23" s="22" t="str">
        <f t="shared" si="2"/>
        <v>Q1</v>
      </c>
      <c r="L23" s="22">
        <v>7</v>
      </c>
      <c r="M23" s="24">
        <v>954.5</v>
      </c>
      <c r="N23" s="25">
        <v>0.1</v>
      </c>
      <c r="O23" s="24">
        <f>IFERROR(INDEX(Products!$D$2:$D$31,MATCH(E23,Products!$A$2:$A$31,0)),0)</f>
        <v>715.83</v>
      </c>
      <c r="P23" s="24">
        <f t="shared" si="3"/>
        <v>6013.35</v>
      </c>
      <c r="Q23" s="24">
        <f t="shared" si="4"/>
        <v>1002.54</v>
      </c>
      <c r="R23" s="26">
        <f t="shared" si="5"/>
        <v>0.16671905011349744</v>
      </c>
      <c r="S23" s="22" t="str">
        <f t="shared" si="6"/>
        <v>Bulk</v>
      </c>
      <c r="T23" s="27" t="str">
        <f t="shared" si="7"/>
        <v>Medium</v>
      </c>
    </row>
    <row r="24" spans="1:20" ht="14.25" customHeight="1" x14ac:dyDescent="0.3">
      <c r="A24" s="21" t="s">
        <v>109</v>
      </c>
      <c r="B24" s="22" t="s">
        <v>110</v>
      </c>
      <c r="C24" s="22" t="str">
        <f>IFERROR(INDEX(Customers!$B$2:$B$31,MATCH(B24,Customers!$A$2:$A$31,0)),"Unknown")</f>
        <v>Kiara Iyer</v>
      </c>
      <c r="D24" s="22" t="str">
        <f>IFERROR(INDEX(Customers!$D$2:$D$31,MATCH(B24,Customers!$A$2:$A$31,0)),"Unknown")</f>
        <v>Central</v>
      </c>
      <c r="E24" s="22" t="s">
        <v>72</v>
      </c>
      <c r="F24" s="22" t="str">
        <f>IFERROR(INDEX(Products!$B$2:$B$31,MATCH(E24,Products!$A$2:$A$31,0)),"Unknown")</f>
        <v>Cricket Bat</v>
      </c>
      <c r="G24" s="22" t="str">
        <f>IFERROR(INDEX(Products!$C$2:$C$31,MATCH(E24,Products!$A$2:$A$31,0)),"Unknown")</f>
        <v>Sports</v>
      </c>
      <c r="H24" s="23">
        <v>45325</v>
      </c>
      <c r="I24" s="22">
        <f t="shared" si="0"/>
        <v>2</v>
      </c>
      <c r="J24" s="22" t="str">
        <f t="shared" si="1"/>
        <v>Feb</v>
      </c>
      <c r="K24" s="22" t="str">
        <f t="shared" si="2"/>
        <v>Q1</v>
      </c>
      <c r="L24" s="22">
        <v>7</v>
      </c>
      <c r="M24" s="24">
        <v>2501.4299999999998</v>
      </c>
      <c r="N24" s="25">
        <v>0.1</v>
      </c>
      <c r="O24" s="24">
        <f>IFERROR(INDEX(Products!$D$2:$D$31,MATCH(E24,Products!$A$2:$A$31,0)),0)</f>
        <v>1824.15</v>
      </c>
      <c r="P24" s="24">
        <f t="shared" si="3"/>
        <v>15759.01</v>
      </c>
      <c r="Q24" s="24">
        <f t="shared" si="4"/>
        <v>2989.96</v>
      </c>
      <c r="R24" s="26">
        <f t="shared" si="5"/>
        <v>0.18973019244229175</v>
      </c>
      <c r="S24" s="22" t="str">
        <f t="shared" si="6"/>
        <v>Bulk</v>
      </c>
      <c r="T24" s="27" t="str">
        <f t="shared" si="7"/>
        <v>Medium</v>
      </c>
    </row>
    <row r="25" spans="1:20" ht="14.25" customHeight="1" x14ac:dyDescent="0.3">
      <c r="A25" s="21" t="s">
        <v>111</v>
      </c>
      <c r="B25" s="22" t="s">
        <v>112</v>
      </c>
      <c r="C25" s="22" t="str">
        <f>IFERROR(INDEX(Customers!$B$2:$B$31,MATCH(B25,Customers!$A$2:$A$31,0)),"Unknown")</f>
        <v>Ayaan Patel</v>
      </c>
      <c r="D25" s="22" t="str">
        <f>IFERROR(INDEX(Customers!$D$2:$D$31,MATCH(B25,Customers!$A$2:$A$31,0)),"Unknown")</f>
        <v>North</v>
      </c>
      <c r="E25" s="22" t="s">
        <v>66</v>
      </c>
      <c r="F25" s="22" t="str">
        <f>IFERROR(INDEX(Products!$B$2:$B$31,MATCH(E25,Products!$A$2:$A$31,0)),"Unknown")</f>
        <v>USB-C Cable</v>
      </c>
      <c r="G25" s="22" t="str">
        <f>IFERROR(INDEX(Products!$C$2:$C$31,MATCH(E25,Products!$A$2:$A$31,0)),"Unknown")</f>
        <v>Electronics</v>
      </c>
      <c r="H25" s="23">
        <v>45325</v>
      </c>
      <c r="I25" s="22">
        <f t="shared" si="0"/>
        <v>2</v>
      </c>
      <c r="J25" s="22" t="str">
        <f t="shared" si="1"/>
        <v>Feb</v>
      </c>
      <c r="K25" s="22" t="str">
        <f t="shared" si="2"/>
        <v>Q1</v>
      </c>
      <c r="L25" s="22">
        <v>3</v>
      </c>
      <c r="M25" s="24">
        <v>862.13</v>
      </c>
      <c r="N25" s="25">
        <v>0.15</v>
      </c>
      <c r="O25" s="24">
        <f>IFERROR(INDEX(Products!$D$2:$D$31,MATCH(E25,Products!$A$2:$A$31,0)),0)</f>
        <v>676.84</v>
      </c>
      <c r="P25" s="24">
        <f t="shared" si="3"/>
        <v>2198.4299999999998</v>
      </c>
      <c r="Q25" s="24">
        <f t="shared" si="4"/>
        <v>167.91</v>
      </c>
      <c r="R25" s="26">
        <f t="shared" si="5"/>
        <v>7.6377232843438281E-2</v>
      </c>
      <c r="S25" s="22" t="str">
        <f t="shared" si="6"/>
        <v>Regular</v>
      </c>
      <c r="T25" s="27" t="str">
        <f t="shared" si="7"/>
        <v>Low</v>
      </c>
    </row>
    <row r="26" spans="1:20" ht="14.25" customHeight="1" x14ac:dyDescent="0.3">
      <c r="A26" s="21" t="s">
        <v>113</v>
      </c>
      <c r="B26" s="22" t="s">
        <v>56</v>
      </c>
      <c r="C26" s="22" t="str">
        <f>IFERROR(INDEX(Customers!$B$2:$B$31,MATCH(B26,Customers!$A$2:$A$31,0)),"Unknown")</f>
        <v>Mohammed Patel</v>
      </c>
      <c r="D26" s="22" t="str">
        <f>IFERROR(INDEX(Customers!$D$2:$D$31,MATCH(B26,Customers!$A$2:$A$31,0)),"Unknown")</f>
        <v>East</v>
      </c>
      <c r="E26" s="22" t="s">
        <v>86</v>
      </c>
      <c r="F26" s="22" t="str">
        <f>IFERROR(INDEX(Products!$B$2:$B$31,MATCH(E26,Products!$A$2:$A$31,0)),"Unknown")</f>
        <v>Electric Kettle</v>
      </c>
      <c r="G26" s="22" t="str">
        <f>IFERROR(INDEX(Products!$C$2:$C$31,MATCH(E26,Products!$A$2:$A$31,0)),"Unknown")</f>
        <v>Home &amp; Kitchen</v>
      </c>
      <c r="H26" s="23">
        <v>45327</v>
      </c>
      <c r="I26" s="22">
        <f t="shared" si="0"/>
        <v>2</v>
      </c>
      <c r="J26" s="22" t="str">
        <f t="shared" si="1"/>
        <v>Feb</v>
      </c>
      <c r="K26" s="22" t="str">
        <f t="shared" si="2"/>
        <v>Q1</v>
      </c>
      <c r="L26" s="22">
        <v>4</v>
      </c>
      <c r="M26" s="24">
        <v>3282.87</v>
      </c>
      <c r="N26" s="25">
        <v>0</v>
      </c>
      <c r="O26" s="24">
        <f>IFERROR(INDEX(Products!$D$2:$D$31,MATCH(E26,Products!$A$2:$A$31,0)),0)</f>
        <v>2494.04</v>
      </c>
      <c r="P26" s="24">
        <f t="shared" si="3"/>
        <v>13131.48</v>
      </c>
      <c r="Q26" s="24">
        <f t="shared" si="4"/>
        <v>3155.32</v>
      </c>
      <c r="R26" s="26">
        <f t="shared" si="5"/>
        <v>0.24028670035670011</v>
      </c>
      <c r="S26" s="22" t="str">
        <f t="shared" si="6"/>
        <v>Regular</v>
      </c>
      <c r="T26" s="27" t="str">
        <f t="shared" si="7"/>
        <v>Medium</v>
      </c>
    </row>
    <row r="27" spans="1:20" ht="14.25" customHeight="1" x14ac:dyDescent="0.3">
      <c r="A27" s="21" t="s">
        <v>114</v>
      </c>
      <c r="B27" s="22" t="s">
        <v>96</v>
      </c>
      <c r="C27" s="22" t="str">
        <f>IFERROR(INDEX(Customers!$B$2:$B$31,MATCH(B27,Customers!$A$2:$A$31,0)),"Unknown")</f>
        <v>Sai Khan</v>
      </c>
      <c r="D27" s="22" t="str">
        <f>IFERROR(INDEX(Customers!$D$2:$D$31,MATCH(B27,Customers!$A$2:$A$31,0)),"Unknown")</f>
        <v>East</v>
      </c>
      <c r="E27" s="22" t="s">
        <v>82</v>
      </c>
      <c r="F27" s="22" t="str">
        <f>IFERROR(INDEX(Products!$B$2:$B$31,MATCH(E27,Products!$A$2:$A$31,0)),"Unknown")</f>
        <v>Hoodie</v>
      </c>
      <c r="G27" s="22" t="str">
        <f>IFERROR(INDEX(Products!$C$2:$C$31,MATCH(E27,Products!$A$2:$A$31,0)),"Unknown")</f>
        <v>Apparel</v>
      </c>
      <c r="H27" s="23">
        <v>45327</v>
      </c>
      <c r="I27" s="22">
        <f t="shared" si="0"/>
        <v>2</v>
      </c>
      <c r="J27" s="22" t="str">
        <f t="shared" si="1"/>
        <v>Feb</v>
      </c>
      <c r="K27" s="22" t="str">
        <f t="shared" si="2"/>
        <v>Q1</v>
      </c>
      <c r="L27" s="22">
        <v>5</v>
      </c>
      <c r="M27" s="24">
        <v>2946.61</v>
      </c>
      <c r="N27" s="25">
        <v>0.1</v>
      </c>
      <c r="O27" s="24">
        <f>IFERROR(INDEX(Products!$D$2:$D$31,MATCH(E27,Products!$A$2:$A$31,0)),0)</f>
        <v>2252.73</v>
      </c>
      <c r="P27" s="24">
        <f t="shared" si="3"/>
        <v>13259.75</v>
      </c>
      <c r="Q27" s="24">
        <f t="shared" si="4"/>
        <v>1996.1</v>
      </c>
      <c r="R27" s="26">
        <f t="shared" si="5"/>
        <v>0.15053828315013479</v>
      </c>
      <c r="S27" s="22" t="str">
        <f t="shared" si="6"/>
        <v>Bulk</v>
      </c>
      <c r="T27" s="27" t="str">
        <f t="shared" si="7"/>
        <v>Medium</v>
      </c>
    </row>
    <row r="28" spans="1:20" ht="14.25" customHeight="1" x14ac:dyDescent="0.3">
      <c r="A28" s="21" t="s">
        <v>115</v>
      </c>
      <c r="B28" s="22" t="s">
        <v>116</v>
      </c>
      <c r="C28" s="22" t="str">
        <f>IFERROR(INDEX(Customers!$B$2:$B$31,MATCH(B28,Customers!$A$2:$A$31,0)),"Unknown")</f>
        <v>Kabir Patel</v>
      </c>
      <c r="D28" s="22" t="str">
        <f>IFERROR(INDEX(Customers!$D$2:$D$31,MATCH(B28,Customers!$A$2:$A$31,0)),"Unknown")</f>
        <v>Central</v>
      </c>
      <c r="E28" s="22" t="s">
        <v>117</v>
      </c>
      <c r="F28" s="22" t="str">
        <f>IFERROR(INDEX(Products!$B$2:$B$31,MATCH(E28,Products!$A$2:$A$31,0)),"Unknown")</f>
        <v>Face Wash</v>
      </c>
      <c r="G28" s="22" t="str">
        <f>IFERROR(INDEX(Products!$C$2:$C$31,MATCH(E28,Products!$A$2:$A$31,0)),"Unknown")</f>
        <v>Beauty</v>
      </c>
      <c r="H28" s="23">
        <v>45327</v>
      </c>
      <c r="I28" s="22">
        <f t="shared" si="0"/>
        <v>2</v>
      </c>
      <c r="J28" s="22" t="str">
        <f t="shared" si="1"/>
        <v>Feb</v>
      </c>
      <c r="K28" s="22" t="str">
        <f t="shared" si="2"/>
        <v>Q1</v>
      </c>
      <c r="L28" s="22">
        <v>1</v>
      </c>
      <c r="M28" s="24">
        <v>1494.65</v>
      </c>
      <c r="N28" s="25">
        <v>0</v>
      </c>
      <c r="O28" s="24">
        <f>IFERROR(INDEX(Products!$D$2:$D$31,MATCH(E28,Products!$A$2:$A$31,0)),0)</f>
        <v>1003.52</v>
      </c>
      <c r="P28" s="24">
        <f t="shared" si="3"/>
        <v>1494.65</v>
      </c>
      <c r="Q28" s="24">
        <f t="shared" si="4"/>
        <v>491.13</v>
      </c>
      <c r="R28" s="26">
        <f t="shared" si="5"/>
        <v>0.32859197805506302</v>
      </c>
      <c r="S28" s="22" t="str">
        <f t="shared" si="6"/>
        <v>Regular</v>
      </c>
      <c r="T28" s="27" t="str">
        <f t="shared" si="7"/>
        <v>High</v>
      </c>
    </row>
    <row r="29" spans="1:20" ht="14.25" customHeight="1" x14ac:dyDescent="0.3">
      <c r="A29" s="21" t="s">
        <v>118</v>
      </c>
      <c r="B29" s="22" t="s">
        <v>101</v>
      </c>
      <c r="C29" s="22" t="str">
        <f>IFERROR(INDEX(Customers!$B$2:$B$31,MATCH(B29,Customers!$A$2:$A$31,0)),"Unknown")</f>
        <v>Ayaan Verma</v>
      </c>
      <c r="D29" s="22" t="str">
        <f>IFERROR(INDEX(Customers!$D$2:$D$31,MATCH(B29,Customers!$A$2:$A$31,0)),"Unknown")</f>
        <v>East</v>
      </c>
      <c r="E29" s="22" t="s">
        <v>94</v>
      </c>
      <c r="F29" s="22" t="str">
        <f>IFERROR(INDEX(Products!$B$2:$B$31,MATCH(E29,Products!$A$2:$A$31,0)),"Unknown")</f>
        <v>Skipping Rope</v>
      </c>
      <c r="G29" s="22" t="str">
        <f>IFERROR(INDEX(Products!$C$2:$C$31,MATCH(E29,Products!$A$2:$A$31,0)),"Unknown")</f>
        <v>Sports</v>
      </c>
      <c r="H29" s="23">
        <v>45330</v>
      </c>
      <c r="I29" s="22">
        <f t="shared" si="0"/>
        <v>2</v>
      </c>
      <c r="J29" s="22" t="str">
        <f t="shared" si="1"/>
        <v>Feb</v>
      </c>
      <c r="K29" s="22" t="str">
        <f t="shared" si="2"/>
        <v>Q1</v>
      </c>
      <c r="L29" s="22">
        <v>5</v>
      </c>
      <c r="M29" s="24">
        <v>1051.22</v>
      </c>
      <c r="N29" s="25">
        <v>0.2</v>
      </c>
      <c r="O29" s="24">
        <f>IFERROR(INDEX(Products!$D$2:$D$31,MATCH(E29,Products!$A$2:$A$31,0)),0)</f>
        <v>725.72</v>
      </c>
      <c r="P29" s="24">
        <f t="shared" si="3"/>
        <v>4204.88</v>
      </c>
      <c r="Q29" s="24">
        <f t="shared" si="4"/>
        <v>576.28</v>
      </c>
      <c r="R29" s="26">
        <f t="shared" si="5"/>
        <v>0.13705028443142253</v>
      </c>
      <c r="S29" s="22" t="str">
        <f t="shared" si="6"/>
        <v>Bulk</v>
      </c>
      <c r="T29" s="27" t="str">
        <f t="shared" si="7"/>
        <v>Low</v>
      </c>
    </row>
    <row r="30" spans="1:20" ht="14.25" customHeight="1" x14ac:dyDescent="0.3">
      <c r="A30" s="21" t="s">
        <v>119</v>
      </c>
      <c r="B30" s="22" t="s">
        <v>93</v>
      </c>
      <c r="C30" s="22" t="str">
        <f>IFERROR(INDEX(Customers!$B$2:$B$31,MATCH(B30,Customers!$A$2:$A$31,0)),"Unknown")</f>
        <v>Karan Kapoor</v>
      </c>
      <c r="D30" s="22" t="str">
        <f>IFERROR(INDEX(Customers!$D$2:$D$31,MATCH(B30,Customers!$A$2:$A$31,0)),"Unknown")</f>
        <v>South</v>
      </c>
      <c r="E30" s="22" t="s">
        <v>120</v>
      </c>
      <c r="F30" s="22" t="str">
        <f>IFERROR(INDEX(Products!$B$2:$B$31,MATCH(E30,Products!$A$2:$A$31,0)),"Unknown")</f>
        <v>Kids Story Book</v>
      </c>
      <c r="G30" s="22" t="str">
        <f>IFERROR(INDEX(Products!$C$2:$C$31,MATCH(E30,Products!$A$2:$A$31,0)),"Unknown")</f>
        <v>Books</v>
      </c>
      <c r="H30" s="23">
        <v>45332</v>
      </c>
      <c r="I30" s="22">
        <f t="shared" si="0"/>
        <v>2</v>
      </c>
      <c r="J30" s="22" t="str">
        <f t="shared" si="1"/>
        <v>Feb</v>
      </c>
      <c r="K30" s="22" t="str">
        <f t="shared" si="2"/>
        <v>Q1</v>
      </c>
      <c r="L30" s="22">
        <v>2</v>
      </c>
      <c r="M30" s="24">
        <v>1629.71</v>
      </c>
      <c r="N30" s="25">
        <v>0.2</v>
      </c>
      <c r="O30" s="24">
        <f>IFERROR(INDEX(Products!$D$2:$D$31,MATCH(E30,Products!$A$2:$A$31,0)),0)</f>
        <v>1101.6300000000001</v>
      </c>
      <c r="P30" s="24">
        <f t="shared" si="3"/>
        <v>2607.54</v>
      </c>
      <c r="Q30" s="24">
        <f t="shared" si="4"/>
        <v>404.28</v>
      </c>
      <c r="R30" s="26">
        <f t="shared" si="5"/>
        <v>0.15504268390897166</v>
      </c>
      <c r="S30" s="22" t="str">
        <f t="shared" si="6"/>
        <v>Regular</v>
      </c>
      <c r="T30" s="27" t="str">
        <f t="shared" si="7"/>
        <v>Medium</v>
      </c>
    </row>
    <row r="31" spans="1:20" ht="14.25" customHeight="1" x14ac:dyDescent="0.3">
      <c r="A31" s="21" t="s">
        <v>121</v>
      </c>
      <c r="B31" s="22" t="s">
        <v>68</v>
      </c>
      <c r="C31" s="22" t="str">
        <f>IFERROR(INDEX(Customers!$B$2:$B$31,MATCH(B31,Customers!$A$2:$A$31,0)),"Unknown")</f>
        <v>Neha Khan</v>
      </c>
      <c r="D31" s="22" t="str">
        <f>IFERROR(INDEX(Customers!$D$2:$D$31,MATCH(B31,Customers!$A$2:$A$31,0)),"Unknown")</f>
        <v>East</v>
      </c>
      <c r="E31" s="22" t="s">
        <v>74</v>
      </c>
      <c r="F31" s="22" t="str">
        <f>IFERROR(INDEX(Products!$B$2:$B$31,MATCH(E31,Products!$A$2:$A$31,0)),"Unknown")</f>
        <v>Notebook Set</v>
      </c>
      <c r="G31" s="22" t="str">
        <f>IFERROR(INDEX(Products!$C$2:$C$31,MATCH(E31,Products!$A$2:$A$31,0)),"Unknown")</f>
        <v>Books</v>
      </c>
      <c r="H31" s="23">
        <v>45335</v>
      </c>
      <c r="I31" s="22">
        <f t="shared" si="0"/>
        <v>2</v>
      </c>
      <c r="J31" s="22" t="str">
        <f t="shared" si="1"/>
        <v>Feb</v>
      </c>
      <c r="K31" s="22" t="str">
        <f t="shared" si="2"/>
        <v>Q1</v>
      </c>
      <c r="L31" s="22">
        <v>1</v>
      </c>
      <c r="M31" s="24">
        <v>285.17</v>
      </c>
      <c r="N31" s="25">
        <v>0.2</v>
      </c>
      <c r="O31" s="24">
        <f>IFERROR(INDEX(Products!$D$2:$D$31,MATCH(E31,Products!$A$2:$A$31,0)),0)</f>
        <v>233.74</v>
      </c>
      <c r="P31" s="24">
        <f t="shared" si="3"/>
        <v>228.14</v>
      </c>
      <c r="Q31" s="24">
        <f t="shared" si="4"/>
        <v>-5.6</v>
      </c>
      <c r="R31" s="26">
        <f t="shared" si="5"/>
        <v>-2.4546331200140263E-2</v>
      </c>
      <c r="S31" s="22" t="str">
        <f t="shared" si="6"/>
        <v>Regular</v>
      </c>
      <c r="T31" s="27" t="str">
        <f t="shared" si="7"/>
        <v>Low</v>
      </c>
    </row>
    <row r="32" spans="1:20" ht="14.25" customHeight="1" x14ac:dyDescent="0.3">
      <c r="A32" s="21" t="s">
        <v>122</v>
      </c>
      <c r="B32" s="22" t="s">
        <v>123</v>
      </c>
      <c r="C32" s="22" t="str">
        <f>IFERROR(INDEX(Customers!$B$2:$B$31,MATCH(B32,Customers!$A$2:$A$31,0)),"Unknown")</f>
        <v>Kabir Gupta</v>
      </c>
      <c r="D32" s="22" t="str">
        <f>IFERROR(INDEX(Customers!$D$2:$D$31,MATCH(B32,Customers!$A$2:$A$31,0)),"Unknown")</f>
        <v>Central</v>
      </c>
      <c r="E32" s="22" t="s">
        <v>66</v>
      </c>
      <c r="F32" s="22" t="str">
        <f>IFERROR(INDEX(Products!$B$2:$B$31,MATCH(E32,Products!$A$2:$A$31,0)),"Unknown")</f>
        <v>USB-C Cable</v>
      </c>
      <c r="G32" s="22" t="str">
        <f>IFERROR(INDEX(Products!$C$2:$C$31,MATCH(E32,Products!$A$2:$A$31,0)),"Unknown")</f>
        <v>Electronics</v>
      </c>
      <c r="H32" s="23">
        <v>45338</v>
      </c>
      <c r="I32" s="22">
        <f t="shared" si="0"/>
        <v>2</v>
      </c>
      <c r="J32" s="22" t="str">
        <f t="shared" si="1"/>
        <v>Feb</v>
      </c>
      <c r="K32" s="22" t="str">
        <f t="shared" si="2"/>
        <v>Q1</v>
      </c>
      <c r="L32" s="22">
        <v>5</v>
      </c>
      <c r="M32" s="24">
        <v>877.88</v>
      </c>
      <c r="N32" s="25">
        <v>0.05</v>
      </c>
      <c r="O32" s="24">
        <f>IFERROR(INDEX(Products!$D$2:$D$31,MATCH(E32,Products!$A$2:$A$31,0)),0)</f>
        <v>676.84</v>
      </c>
      <c r="P32" s="24">
        <f t="shared" si="3"/>
        <v>4169.93</v>
      </c>
      <c r="Q32" s="24">
        <f t="shared" si="4"/>
        <v>785.73</v>
      </c>
      <c r="R32" s="26">
        <f t="shared" si="5"/>
        <v>0.18842762348528633</v>
      </c>
      <c r="S32" s="22" t="str">
        <f t="shared" si="6"/>
        <v>Bulk</v>
      </c>
      <c r="T32" s="27" t="str">
        <f t="shared" si="7"/>
        <v>Medium</v>
      </c>
    </row>
    <row r="33" spans="1:20" ht="14.25" customHeight="1" x14ac:dyDescent="0.3">
      <c r="A33" s="21" t="s">
        <v>124</v>
      </c>
      <c r="B33" s="22" t="s">
        <v>88</v>
      </c>
      <c r="C33" s="22" t="str">
        <f>IFERROR(INDEX(Customers!$B$2:$B$31,MATCH(B33,Customers!$A$2:$A$31,0)),"Unknown")</f>
        <v>Zara Khan</v>
      </c>
      <c r="D33" s="22" t="str">
        <f>IFERROR(INDEX(Customers!$D$2:$D$31,MATCH(B33,Customers!$A$2:$A$31,0)),"Unknown")</f>
        <v>North</v>
      </c>
      <c r="E33" s="22" t="s">
        <v>86</v>
      </c>
      <c r="F33" s="22" t="str">
        <f>IFERROR(INDEX(Products!$B$2:$B$31,MATCH(E33,Products!$A$2:$A$31,0)),"Unknown")</f>
        <v>Electric Kettle</v>
      </c>
      <c r="G33" s="22" t="str">
        <f>IFERROR(INDEX(Products!$C$2:$C$31,MATCH(E33,Products!$A$2:$A$31,0)),"Unknown")</f>
        <v>Home &amp; Kitchen</v>
      </c>
      <c r="H33" s="23">
        <v>45338</v>
      </c>
      <c r="I33" s="22">
        <f t="shared" si="0"/>
        <v>2</v>
      </c>
      <c r="J33" s="22" t="str">
        <f t="shared" si="1"/>
        <v>Feb</v>
      </c>
      <c r="K33" s="22" t="str">
        <f t="shared" si="2"/>
        <v>Q1</v>
      </c>
      <c r="L33" s="22">
        <v>7</v>
      </c>
      <c r="M33" s="24">
        <v>2883.77</v>
      </c>
      <c r="N33" s="25">
        <v>0.1</v>
      </c>
      <c r="O33" s="24">
        <f>IFERROR(INDEX(Products!$D$2:$D$31,MATCH(E33,Products!$A$2:$A$31,0)),0)</f>
        <v>2494.04</v>
      </c>
      <c r="P33" s="24">
        <f t="shared" si="3"/>
        <v>18167.75</v>
      </c>
      <c r="Q33" s="24">
        <f t="shared" si="4"/>
        <v>709.47</v>
      </c>
      <c r="R33" s="26">
        <f t="shared" si="5"/>
        <v>3.9051065762133449E-2</v>
      </c>
      <c r="S33" s="22" t="str">
        <f t="shared" si="6"/>
        <v>Bulk</v>
      </c>
      <c r="T33" s="27" t="str">
        <f t="shared" si="7"/>
        <v>Low</v>
      </c>
    </row>
    <row r="34" spans="1:20" ht="14.25" customHeight="1" x14ac:dyDescent="0.3">
      <c r="A34" s="21" t="s">
        <v>125</v>
      </c>
      <c r="B34" s="22" t="s">
        <v>59</v>
      </c>
      <c r="C34" s="22" t="str">
        <f>IFERROR(INDEX(Customers!$B$2:$B$31,MATCH(B34,Customers!$A$2:$A$31,0)),"Unknown")</f>
        <v>Diya Reddy</v>
      </c>
      <c r="D34" s="22" t="str">
        <f>IFERROR(INDEX(Customers!$D$2:$D$31,MATCH(B34,Customers!$A$2:$A$31,0)),"Unknown")</f>
        <v>East</v>
      </c>
      <c r="E34" s="22" t="s">
        <v>126</v>
      </c>
      <c r="F34" s="22" t="str">
        <f>IFERROR(INDEX(Products!$B$2:$B$31,MATCH(E34,Products!$A$2:$A$31,0)),"Unknown")</f>
        <v>Wireless Earbuds</v>
      </c>
      <c r="G34" s="22" t="str">
        <f>IFERROR(INDEX(Products!$C$2:$C$31,MATCH(E34,Products!$A$2:$A$31,0)),"Unknown")</f>
        <v>Electronics</v>
      </c>
      <c r="H34" s="23">
        <v>45338</v>
      </c>
      <c r="I34" s="22">
        <f t="shared" si="0"/>
        <v>2</v>
      </c>
      <c r="J34" s="22" t="str">
        <f t="shared" si="1"/>
        <v>Feb</v>
      </c>
      <c r="K34" s="22" t="str">
        <f t="shared" si="2"/>
        <v>Q1</v>
      </c>
      <c r="L34" s="22">
        <v>5</v>
      </c>
      <c r="M34" s="24">
        <v>1368.67</v>
      </c>
      <c r="N34" s="25">
        <v>0.05</v>
      </c>
      <c r="O34" s="24">
        <f>IFERROR(INDEX(Products!$D$2:$D$31,MATCH(E34,Products!$A$2:$A$31,0)),0)</f>
        <v>1037.43</v>
      </c>
      <c r="P34" s="24">
        <f t="shared" si="3"/>
        <v>6501.18</v>
      </c>
      <c r="Q34" s="24">
        <f t="shared" si="4"/>
        <v>1314.03</v>
      </c>
      <c r="R34" s="26">
        <f t="shared" si="5"/>
        <v>0.2021217686635349</v>
      </c>
      <c r="S34" s="22" t="str">
        <f t="shared" si="6"/>
        <v>Bulk</v>
      </c>
      <c r="T34" s="27" t="str">
        <f t="shared" si="7"/>
        <v>Medium</v>
      </c>
    </row>
    <row r="35" spans="1:20" ht="14.25" customHeight="1" x14ac:dyDescent="0.3">
      <c r="A35" s="21" t="s">
        <v>127</v>
      </c>
      <c r="B35" s="22" t="s">
        <v>88</v>
      </c>
      <c r="C35" s="22" t="str">
        <f>IFERROR(INDEX(Customers!$B$2:$B$31,MATCH(B35,Customers!$A$2:$A$31,0)),"Unknown")</f>
        <v>Zara Khan</v>
      </c>
      <c r="D35" s="22" t="str">
        <f>IFERROR(INDEX(Customers!$D$2:$D$31,MATCH(B35,Customers!$A$2:$A$31,0)),"Unknown")</f>
        <v>North</v>
      </c>
      <c r="E35" s="22" t="s">
        <v>105</v>
      </c>
      <c r="F35" s="22" t="str">
        <f>IFERROR(INDEX(Products!$B$2:$B$31,MATCH(E35,Products!$A$2:$A$31,0)),"Unknown")</f>
        <v>LED Table Lamp</v>
      </c>
      <c r="G35" s="22" t="str">
        <f>IFERROR(INDEX(Products!$C$2:$C$31,MATCH(E35,Products!$A$2:$A$31,0)),"Unknown")</f>
        <v>Home &amp; Kitchen</v>
      </c>
      <c r="H35" s="23">
        <v>45339</v>
      </c>
      <c r="I35" s="22">
        <f t="shared" si="0"/>
        <v>2</v>
      </c>
      <c r="J35" s="22" t="str">
        <f t="shared" si="1"/>
        <v>Feb</v>
      </c>
      <c r="K35" s="22" t="str">
        <f t="shared" si="2"/>
        <v>Q1</v>
      </c>
      <c r="L35" s="22">
        <v>4</v>
      </c>
      <c r="M35" s="24">
        <v>478.95</v>
      </c>
      <c r="N35" s="25">
        <v>0</v>
      </c>
      <c r="O35" s="24">
        <f>IFERROR(INDEX(Products!$D$2:$D$31,MATCH(E35,Products!$A$2:$A$31,0)),0)</f>
        <v>300</v>
      </c>
      <c r="P35" s="24">
        <f t="shared" si="3"/>
        <v>1915.8</v>
      </c>
      <c r="Q35" s="24">
        <f t="shared" si="4"/>
        <v>715.8</v>
      </c>
      <c r="R35" s="26">
        <f t="shared" si="5"/>
        <v>0.37362981522079547</v>
      </c>
      <c r="S35" s="22" t="str">
        <f t="shared" si="6"/>
        <v>Regular</v>
      </c>
      <c r="T35" s="27" t="str">
        <f t="shared" si="7"/>
        <v>High</v>
      </c>
    </row>
    <row r="36" spans="1:20" ht="14.25" customHeight="1" x14ac:dyDescent="0.3">
      <c r="A36" s="21" t="s">
        <v>128</v>
      </c>
      <c r="B36" s="22" t="s">
        <v>129</v>
      </c>
      <c r="C36" s="22" t="str">
        <f>IFERROR(INDEX(Customers!$B$2:$B$31,MATCH(B36,Customers!$A$2:$A$31,0)),"Unknown")</f>
        <v>Sana Chatterjee</v>
      </c>
      <c r="D36" s="22" t="str">
        <f>IFERROR(INDEX(Customers!$D$2:$D$31,MATCH(B36,Customers!$A$2:$A$31,0)),"Unknown")</f>
        <v>North</v>
      </c>
      <c r="E36" s="22" t="s">
        <v>105</v>
      </c>
      <c r="F36" s="22" t="str">
        <f>IFERROR(INDEX(Products!$B$2:$B$31,MATCH(E36,Products!$A$2:$A$31,0)),"Unknown")</f>
        <v>LED Table Lamp</v>
      </c>
      <c r="G36" s="22" t="str">
        <f>IFERROR(INDEX(Products!$C$2:$C$31,MATCH(E36,Products!$A$2:$A$31,0)),"Unknown")</f>
        <v>Home &amp; Kitchen</v>
      </c>
      <c r="H36" s="23">
        <v>45341</v>
      </c>
      <c r="I36" s="22">
        <f t="shared" si="0"/>
        <v>2</v>
      </c>
      <c r="J36" s="22" t="str">
        <f t="shared" si="1"/>
        <v>Feb</v>
      </c>
      <c r="K36" s="22" t="str">
        <f t="shared" si="2"/>
        <v>Q1</v>
      </c>
      <c r="L36" s="22">
        <v>6</v>
      </c>
      <c r="M36" s="24">
        <v>454.59</v>
      </c>
      <c r="N36" s="25">
        <v>0.1</v>
      </c>
      <c r="O36" s="24">
        <f>IFERROR(INDEX(Products!$D$2:$D$31,MATCH(E36,Products!$A$2:$A$31,0)),0)</f>
        <v>300</v>
      </c>
      <c r="P36" s="24">
        <f t="shared" si="3"/>
        <v>2454.79</v>
      </c>
      <c r="Q36" s="24">
        <f t="shared" si="4"/>
        <v>654.79</v>
      </c>
      <c r="R36" s="26">
        <f t="shared" si="5"/>
        <v>0.26673972111667393</v>
      </c>
      <c r="S36" s="22" t="str">
        <f t="shared" si="6"/>
        <v>Bulk</v>
      </c>
      <c r="T36" s="27" t="str">
        <f t="shared" si="7"/>
        <v>Medium</v>
      </c>
    </row>
    <row r="37" spans="1:20" ht="14.25" customHeight="1" x14ac:dyDescent="0.3">
      <c r="A37" s="21" t="s">
        <v>130</v>
      </c>
      <c r="B37" s="22" t="s">
        <v>93</v>
      </c>
      <c r="C37" s="22" t="str">
        <f>IFERROR(INDEX(Customers!$B$2:$B$31,MATCH(B37,Customers!$A$2:$A$31,0)),"Unknown")</f>
        <v>Karan Kapoor</v>
      </c>
      <c r="D37" s="22" t="str">
        <f>IFERROR(INDEX(Customers!$D$2:$D$31,MATCH(B37,Customers!$A$2:$A$31,0)),"Unknown")</f>
        <v>South</v>
      </c>
      <c r="E37" s="22" t="s">
        <v>131</v>
      </c>
      <c r="F37" s="22" t="str">
        <f>IFERROR(INDEX(Products!$B$2:$B$31,MATCH(E37,Products!$A$2:$A$31,0)),"Unknown")</f>
        <v>Sunscreen</v>
      </c>
      <c r="G37" s="22" t="str">
        <f>IFERROR(INDEX(Products!$C$2:$C$31,MATCH(E37,Products!$A$2:$A$31,0)),"Unknown")</f>
        <v>Beauty</v>
      </c>
      <c r="H37" s="23">
        <v>45346</v>
      </c>
      <c r="I37" s="22">
        <f t="shared" si="0"/>
        <v>2</v>
      </c>
      <c r="J37" s="22" t="str">
        <f t="shared" si="1"/>
        <v>Feb</v>
      </c>
      <c r="K37" s="22" t="str">
        <f t="shared" si="2"/>
        <v>Q1</v>
      </c>
      <c r="L37" s="22">
        <v>7</v>
      </c>
      <c r="M37" s="24">
        <v>2700.57</v>
      </c>
      <c r="N37" s="25">
        <v>0.2</v>
      </c>
      <c r="O37" s="24">
        <f>IFERROR(INDEX(Products!$D$2:$D$31,MATCH(E37,Products!$A$2:$A$31,0)),0)</f>
        <v>2163.09</v>
      </c>
      <c r="P37" s="24">
        <f t="shared" si="3"/>
        <v>15123.19</v>
      </c>
      <c r="Q37" s="24">
        <f t="shared" si="4"/>
        <v>-18.440000000000001</v>
      </c>
      <c r="R37" s="26">
        <f t="shared" si="5"/>
        <v>-1.219319468974469E-3</v>
      </c>
      <c r="S37" s="22" t="str">
        <f t="shared" si="6"/>
        <v>Bulk</v>
      </c>
      <c r="T37" s="27" t="str">
        <f t="shared" si="7"/>
        <v>Low</v>
      </c>
    </row>
    <row r="38" spans="1:20" ht="14.25" customHeight="1" x14ac:dyDescent="0.3">
      <c r="A38" s="21" t="s">
        <v>132</v>
      </c>
      <c r="B38" s="22" t="s">
        <v>101</v>
      </c>
      <c r="C38" s="22" t="str">
        <f>IFERROR(INDEX(Customers!$B$2:$B$31,MATCH(B38,Customers!$A$2:$A$31,0)),"Unknown")</f>
        <v>Ayaan Verma</v>
      </c>
      <c r="D38" s="22" t="str">
        <f>IFERROR(INDEX(Customers!$D$2:$D$31,MATCH(B38,Customers!$A$2:$A$31,0)),"Unknown")</f>
        <v>East</v>
      </c>
      <c r="E38" s="22" t="s">
        <v>77</v>
      </c>
      <c r="F38" s="22" t="str">
        <f>IFERROR(INDEX(Products!$B$2:$B$31,MATCH(E38,Products!$A$2:$A$31,0)),"Unknown")</f>
        <v>Fiction Novel</v>
      </c>
      <c r="G38" s="22" t="str">
        <f>IFERROR(INDEX(Products!$C$2:$C$31,MATCH(E38,Products!$A$2:$A$31,0)),"Unknown")</f>
        <v>Books</v>
      </c>
      <c r="H38" s="23">
        <v>45346</v>
      </c>
      <c r="I38" s="22">
        <f t="shared" si="0"/>
        <v>2</v>
      </c>
      <c r="J38" s="22" t="str">
        <f t="shared" si="1"/>
        <v>Feb</v>
      </c>
      <c r="K38" s="22" t="str">
        <f t="shared" si="2"/>
        <v>Q1</v>
      </c>
      <c r="L38" s="22">
        <v>4</v>
      </c>
      <c r="M38" s="24">
        <v>456.42</v>
      </c>
      <c r="N38" s="25">
        <v>0</v>
      </c>
      <c r="O38" s="24">
        <f>IFERROR(INDEX(Products!$D$2:$D$31,MATCH(E38,Products!$A$2:$A$31,0)),0)</f>
        <v>345.35</v>
      </c>
      <c r="P38" s="24">
        <f t="shared" si="3"/>
        <v>1825.68</v>
      </c>
      <c r="Q38" s="24">
        <f t="shared" si="4"/>
        <v>444.28</v>
      </c>
      <c r="R38" s="26">
        <f t="shared" si="5"/>
        <v>0.24335042285614125</v>
      </c>
      <c r="S38" s="22" t="str">
        <f t="shared" si="6"/>
        <v>Regular</v>
      </c>
      <c r="T38" s="27" t="str">
        <f t="shared" si="7"/>
        <v>Medium</v>
      </c>
    </row>
    <row r="39" spans="1:20" ht="14.25" customHeight="1" x14ac:dyDescent="0.3">
      <c r="A39" s="21" t="s">
        <v>133</v>
      </c>
      <c r="B39" s="22" t="s">
        <v>129</v>
      </c>
      <c r="C39" s="22" t="str">
        <f>IFERROR(INDEX(Customers!$B$2:$B$31,MATCH(B39,Customers!$A$2:$A$31,0)),"Unknown")</f>
        <v>Sana Chatterjee</v>
      </c>
      <c r="D39" s="22" t="str">
        <f>IFERROR(INDEX(Customers!$D$2:$D$31,MATCH(B39,Customers!$A$2:$A$31,0)),"Unknown")</f>
        <v>North</v>
      </c>
      <c r="E39" s="22" t="s">
        <v>105</v>
      </c>
      <c r="F39" s="22" t="str">
        <f>IFERROR(INDEX(Products!$B$2:$B$31,MATCH(E39,Products!$A$2:$A$31,0)),"Unknown")</f>
        <v>LED Table Lamp</v>
      </c>
      <c r="G39" s="22" t="str">
        <f>IFERROR(INDEX(Products!$C$2:$C$31,MATCH(E39,Products!$A$2:$A$31,0)),"Unknown")</f>
        <v>Home &amp; Kitchen</v>
      </c>
      <c r="H39" s="23">
        <v>45346</v>
      </c>
      <c r="I39" s="22">
        <f t="shared" si="0"/>
        <v>2</v>
      </c>
      <c r="J39" s="22" t="str">
        <f t="shared" si="1"/>
        <v>Feb</v>
      </c>
      <c r="K39" s="22" t="str">
        <f t="shared" si="2"/>
        <v>Q1</v>
      </c>
      <c r="L39" s="22">
        <v>4</v>
      </c>
      <c r="M39" s="24">
        <v>403.82</v>
      </c>
      <c r="N39" s="25">
        <v>0.05</v>
      </c>
      <c r="O39" s="24">
        <f>IFERROR(INDEX(Products!$D$2:$D$31,MATCH(E39,Products!$A$2:$A$31,0)),0)</f>
        <v>300</v>
      </c>
      <c r="P39" s="24">
        <f t="shared" si="3"/>
        <v>1534.52</v>
      </c>
      <c r="Q39" s="24">
        <f t="shared" si="4"/>
        <v>334.52</v>
      </c>
      <c r="R39" s="26">
        <f t="shared" si="5"/>
        <v>0.21799650705106483</v>
      </c>
      <c r="S39" s="22" t="str">
        <f t="shared" si="6"/>
        <v>Regular</v>
      </c>
      <c r="T39" s="27" t="str">
        <f t="shared" si="7"/>
        <v>Medium</v>
      </c>
    </row>
    <row r="40" spans="1:20" ht="14.25" customHeight="1" x14ac:dyDescent="0.3">
      <c r="A40" s="21" t="s">
        <v>134</v>
      </c>
      <c r="B40" s="22" t="s">
        <v>96</v>
      </c>
      <c r="C40" s="22" t="str">
        <f>IFERROR(INDEX(Customers!$B$2:$B$31,MATCH(B40,Customers!$A$2:$A$31,0)),"Unknown")</f>
        <v>Sai Khan</v>
      </c>
      <c r="D40" s="22" t="str">
        <f>IFERROR(INDEX(Customers!$D$2:$D$31,MATCH(B40,Customers!$A$2:$A$31,0)),"Unknown")</f>
        <v>East</v>
      </c>
      <c r="E40" s="22" t="s">
        <v>135</v>
      </c>
      <c r="F40" s="22" t="str">
        <f>IFERROR(INDEX(Products!$B$2:$B$31,MATCH(E40,Products!$A$2:$A$31,0)),"Unknown")</f>
        <v>Yoga Mat</v>
      </c>
      <c r="G40" s="22" t="str">
        <f>IFERROR(INDEX(Products!$C$2:$C$31,MATCH(E40,Products!$A$2:$A$31,0)),"Unknown")</f>
        <v>Sports</v>
      </c>
      <c r="H40" s="23">
        <v>45347</v>
      </c>
      <c r="I40" s="22">
        <f t="shared" si="0"/>
        <v>2</v>
      </c>
      <c r="J40" s="22" t="str">
        <f t="shared" si="1"/>
        <v>Feb</v>
      </c>
      <c r="K40" s="22" t="str">
        <f t="shared" si="2"/>
        <v>Q1</v>
      </c>
      <c r="L40" s="22">
        <v>4</v>
      </c>
      <c r="M40" s="24">
        <v>133.24</v>
      </c>
      <c r="N40" s="25">
        <v>0.1</v>
      </c>
      <c r="O40" s="24">
        <f>IFERROR(INDEX(Products!$D$2:$D$31,MATCH(E40,Products!$A$2:$A$31,0)),0)</f>
        <v>107.78</v>
      </c>
      <c r="P40" s="24">
        <f t="shared" si="3"/>
        <v>479.66</v>
      </c>
      <c r="Q40" s="24">
        <f t="shared" si="4"/>
        <v>48.54</v>
      </c>
      <c r="R40" s="26">
        <f t="shared" si="5"/>
        <v>0.10119668098236249</v>
      </c>
      <c r="S40" s="22" t="str">
        <f t="shared" si="6"/>
        <v>Regular</v>
      </c>
      <c r="T40" s="27" t="str">
        <f t="shared" si="7"/>
        <v>Low</v>
      </c>
    </row>
    <row r="41" spans="1:20" ht="14.25" customHeight="1" x14ac:dyDescent="0.3">
      <c r="A41" s="21" t="s">
        <v>136</v>
      </c>
      <c r="B41" s="22" t="s">
        <v>59</v>
      </c>
      <c r="C41" s="22" t="str">
        <f>IFERROR(INDEX(Customers!$B$2:$B$31,MATCH(B41,Customers!$A$2:$A$31,0)),"Unknown")</f>
        <v>Diya Reddy</v>
      </c>
      <c r="D41" s="22" t="str">
        <f>IFERROR(INDEX(Customers!$D$2:$D$31,MATCH(B41,Customers!$A$2:$A$31,0)),"Unknown")</f>
        <v>East</v>
      </c>
      <c r="E41" s="22" t="s">
        <v>86</v>
      </c>
      <c r="F41" s="22" t="str">
        <f>IFERROR(INDEX(Products!$B$2:$B$31,MATCH(E41,Products!$A$2:$A$31,0)),"Unknown")</f>
        <v>Electric Kettle</v>
      </c>
      <c r="G41" s="22" t="str">
        <f>IFERROR(INDEX(Products!$C$2:$C$31,MATCH(E41,Products!$A$2:$A$31,0)),"Unknown")</f>
        <v>Home &amp; Kitchen</v>
      </c>
      <c r="H41" s="23">
        <v>45347</v>
      </c>
      <c r="I41" s="22">
        <f t="shared" si="0"/>
        <v>2</v>
      </c>
      <c r="J41" s="22" t="str">
        <f t="shared" si="1"/>
        <v>Feb</v>
      </c>
      <c r="K41" s="22" t="str">
        <f t="shared" si="2"/>
        <v>Q1</v>
      </c>
      <c r="L41" s="22">
        <v>4</v>
      </c>
      <c r="M41" s="24">
        <v>3397.29</v>
      </c>
      <c r="N41" s="25">
        <v>0.1</v>
      </c>
      <c r="O41" s="24">
        <f>IFERROR(INDEX(Products!$D$2:$D$31,MATCH(E41,Products!$A$2:$A$31,0)),0)</f>
        <v>2494.04</v>
      </c>
      <c r="P41" s="24">
        <f t="shared" si="3"/>
        <v>12230.24</v>
      </c>
      <c r="Q41" s="24">
        <f t="shared" si="4"/>
        <v>2254.08</v>
      </c>
      <c r="R41" s="26">
        <f t="shared" si="5"/>
        <v>0.18430382396420675</v>
      </c>
      <c r="S41" s="22" t="str">
        <f t="shared" si="6"/>
        <v>Regular</v>
      </c>
      <c r="T41" s="27" t="str">
        <f t="shared" si="7"/>
        <v>Medium</v>
      </c>
    </row>
    <row r="42" spans="1:20" ht="14.25" customHeight="1" x14ac:dyDescent="0.3">
      <c r="A42" s="21" t="s">
        <v>137</v>
      </c>
      <c r="B42" s="22" t="s">
        <v>59</v>
      </c>
      <c r="C42" s="22" t="str">
        <f>IFERROR(INDEX(Customers!$B$2:$B$31,MATCH(B42,Customers!$A$2:$A$31,0)),"Unknown")</f>
        <v>Diya Reddy</v>
      </c>
      <c r="D42" s="22" t="str">
        <f>IFERROR(INDEX(Customers!$D$2:$D$31,MATCH(B42,Customers!$A$2:$A$31,0)),"Unknown")</f>
        <v>East</v>
      </c>
      <c r="E42" s="22" t="s">
        <v>69</v>
      </c>
      <c r="F42" s="22" t="str">
        <f>IFERROR(INDEX(Products!$B$2:$B$31,MATCH(E42,Products!$A$2:$A$31,0)),"Unknown")</f>
        <v>Non-Stick Pan</v>
      </c>
      <c r="G42" s="22" t="str">
        <f>IFERROR(INDEX(Products!$C$2:$C$31,MATCH(E42,Products!$A$2:$A$31,0)),"Unknown")</f>
        <v>Home &amp; Kitchen</v>
      </c>
      <c r="H42" s="23">
        <v>45349</v>
      </c>
      <c r="I42" s="22">
        <f t="shared" si="0"/>
        <v>2</v>
      </c>
      <c r="J42" s="22" t="str">
        <f t="shared" si="1"/>
        <v>Feb</v>
      </c>
      <c r="K42" s="22" t="str">
        <f t="shared" si="2"/>
        <v>Q1</v>
      </c>
      <c r="L42" s="22">
        <v>5</v>
      </c>
      <c r="M42" s="24">
        <v>821.87</v>
      </c>
      <c r="N42" s="25">
        <v>0.05</v>
      </c>
      <c r="O42" s="24">
        <f>IFERROR(INDEX(Products!$D$2:$D$31,MATCH(E42,Products!$A$2:$A$31,0)),0)</f>
        <v>610.76</v>
      </c>
      <c r="P42" s="24">
        <f t="shared" si="3"/>
        <v>3903.88</v>
      </c>
      <c r="Q42" s="24">
        <f t="shared" si="4"/>
        <v>850.08</v>
      </c>
      <c r="R42" s="26">
        <f t="shared" si="5"/>
        <v>0.21775259485435003</v>
      </c>
      <c r="S42" s="22" t="str">
        <f t="shared" si="6"/>
        <v>Bulk</v>
      </c>
      <c r="T42" s="27" t="str">
        <f t="shared" si="7"/>
        <v>Medium</v>
      </c>
    </row>
    <row r="43" spans="1:20" ht="14.25" customHeight="1" x14ac:dyDescent="0.3">
      <c r="A43" s="21" t="s">
        <v>138</v>
      </c>
      <c r="B43" s="22" t="s">
        <v>90</v>
      </c>
      <c r="C43" s="22" t="str">
        <f>IFERROR(INDEX(Customers!$B$2:$B$31,MATCH(B43,Customers!$A$2:$A$31,0)),"Unknown")</f>
        <v>Ayaan Chatterjee</v>
      </c>
      <c r="D43" s="22" t="str">
        <f>IFERROR(INDEX(Customers!$D$2:$D$31,MATCH(B43,Customers!$A$2:$A$31,0)),"Unknown")</f>
        <v>West</v>
      </c>
      <c r="E43" s="22" t="s">
        <v>60</v>
      </c>
      <c r="F43" s="22" t="str">
        <f>IFERROR(INDEX(Products!$B$2:$B$31,MATCH(E43,Products!$A$2:$A$31,0)),"Unknown")</f>
        <v>Self-Help Book</v>
      </c>
      <c r="G43" s="22" t="str">
        <f>IFERROR(INDEX(Products!$C$2:$C$31,MATCH(E43,Products!$A$2:$A$31,0)),"Unknown")</f>
        <v>Books</v>
      </c>
      <c r="H43" s="23">
        <v>45350</v>
      </c>
      <c r="I43" s="22">
        <f t="shared" si="0"/>
        <v>2</v>
      </c>
      <c r="J43" s="22" t="str">
        <f t="shared" si="1"/>
        <v>Feb</v>
      </c>
      <c r="K43" s="22" t="str">
        <f t="shared" si="2"/>
        <v>Q1</v>
      </c>
      <c r="L43" s="22">
        <v>6</v>
      </c>
      <c r="M43" s="24">
        <v>2147.42</v>
      </c>
      <c r="N43" s="25">
        <v>0</v>
      </c>
      <c r="O43" s="24">
        <f>IFERROR(INDEX(Products!$D$2:$D$31,MATCH(E43,Products!$A$2:$A$31,0)),0)</f>
        <v>1598.42</v>
      </c>
      <c r="P43" s="24">
        <f t="shared" si="3"/>
        <v>12884.52</v>
      </c>
      <c r="Q43" s="24">
        <f t="shared" si="4"/>
        <v>3294</v>
      </c>
      <c r="R43" s="26">
        <f t="shared" si="5"/>
        <v>0.25565562395805197</v>
      </c>
      <c r="S43" s="22" t="str">
        <f t="shared" si="6"/>
        <v>Bulk</v>
      </c>
      <c r="T43" s="27" t="str">
        <f t="shared" si="7"/>
        <v>Medium</v>
      </c>
    </row>
    <row r="44" spans="1:20" ht="14.25" customHeight="1" x14ac:dyDescent="0.3">
      <c r="A44" s="21" t="s">
        <v>139</v>
      </c>
      <c r="B44" s="22" t="s">
        <v>53</v>
      </c>
      <c r="C44" s="22" t="str">
        <f>IFERROR(INDEX(Customers!$B$2:$B$31,MATCH(B44,Customers!$A$2:$A$31,0)),"Unknown")</f>
        <v>Aisha Malhotra</v>
      </c>
      <c r="D44" s="22" t="str">
        <f>IFERROR(INDEX(Customers!$D$2:$D$31,MATCH(B44,Customers!$A$2:$A$31,0)),"Unknown")</f>
        <v>Central</v>
      </c>
      <c r="E44" s="22" t="s">
        <v>69</v>
      </c>
      <c r="F44" s="22" t="str">
        <f>IFERROR(INDEX(Products!$B$2:$B$31,MATCH(E44,Products!$A$2:$A$31,0)),"Unknown")</f>
        <v>Non-Stick Pan</v>
      </c>
      <c r="G44" s="22" t="str">
        <f>IFERROR(INDEX(Products!$C$2:$C$31,MATCH(E44,Products!$A$2:$A$31,0)),"Unknown")</f>
        <v>Home &amp; Kitchen</v>
      </c>
      <c r="H44" s="23">
        <v>45351</v>
      </c>
      <c r="I44" s="22">
        <f t="shared" si="0"/>
        <v>2</v>
      </c>
      <c r="J44" s="22" t="str">
        <f t="shared" si="1"/>
        <v>Feb</v>
      </c>
      <c r="K44" s="22" t="str">
        <f t="shared" si="2"/>
        <v>Q1</v>
      </c>
      <c r="L44" s="22">
        <v>7</v>
      </c>
      <c r="M44" s="24">
        <v>940.09</v>
      </c>
      <c r="N44" s="25">
        <v>0.2</v>
      </c>
      <c r="O44" s="24">
        <f>IFERROR(INDEX(Products!$D$2:$D$31,MATCH(E44,Products!$A$2:$A$31,0)),0)</f>
        <v>610.76</v>
      </c>
      <c r="P44" s="24">
        <f t="shared" si="3"/>
        <v>5264.5</v>
      </c>
      <c r="Q44" s="24">
        <f t="shared" si="4"/>
        <v>989.18</v>
      </c>
      <c r="R44" s="26">
        <f t="shared" si="5"/>
        <v>0.18789628644695602</v>
      </c>
      <c r="S44" s="22" t="str">
        <f t="shared" si="6"/>
        <v>Bulk</v>
      </c>
      <c r="T44" s="27" t="str">
        <f t="shared" si="7"/>
        <v>Medium</v>
      </c>
    </row>
    <row r="45" spans="1:20" ht="14.25" customHeight="1" x14ac:dyDescent="0.3">
      <c r="A45" s="21" t="s">
        <v>140</v>
      </c>
      <c r="B45" s="22" t="s">
        <v>107</v>
      </c>
      <c r="C45" s="22" t="str">
        <f>IFERROR(INDEX(Customers!$B$2:$B$31,MATCH(B45,Customers!$A$2:$A$31,0)),"Unknown")</f>
        <v>Mohammed Gupta</v>
      </c>
      <c r="D45" s="22" t="str">
        <f>IFERROR(INDEX(Customers!$D$2:$D$31,MATCH(B45,Customers!$A$2:$A$31,0)),"Unknown")</f>
        <v>North</v>
      </c>
      <c r="E45" s="22" t="s">
        <v>141</v>
      </c>
      <c r="F45" s="22" t="str">
        <f>IFERROR(INDEX(Products!$B$2:$B$31,MATCH(E45,Products!$A$2:$A$31,0)),"Unknown")</f>
        <v>Cook Book</v>
      </c>
      <c r="G45" s="22" t="str">
        <f>IFERROR(INDEX(Products!$C$2:$C$31,MATCH(E45,Products!$A$2:$A$31,0)),"Unknown")</f>
        <v>Books</v>
      </c>
      <c r="H45" s="23">
        <v>45356</v>
      </c>
      <c r="I45" s="22">
        <f t="shared" si="0"/>
        <v>3</v>
      </c>
      <c r="J45" s="22" t="str">
        <f t="shared" si="1"/>
        <v>Mar</v>
      </c>
      <c r="K45" s="22" t="str">
        <f t="shared" si="2"/>
        <v>Q1</v>
      </c>
      <c r="L45" s="22">
        <v>5</v>
      </c>
      <c r="M45" s="24">
        <v>2337.25</v>
      </c>
      <c r="N45" s="25">
        <v>0</v>
      </c>
      <c r="O45" s="24">
        <f>IFERROR(INDEX(Products!$D$2:$D$31,MATCH(E45,Products!$A$2:$A$31,0)),0)</f>
        <v>1996.83</v>
      </c>
      <c r="P45" s="24">
        <f t="shared" si="3"/>
        <v>11686.25</v>
      </c>
      <c r="Q45" s="24">
        <f t="shared" si="4"/>
        <v>1702.1</v>
      </c>
      <c r="R45" s="26">
        <f t="shared" si="5"/>
        <v>0.14564980211787357</v>
      </c>
      <c r="S45" s="22" t="str">
        <f t="shared" si="6"/>
        <v>Bulk</v>
      </c>
      <c r="T45" s="27" t="str">
        <f t="shared" si="7"/>
        <v>Low</v>
      </c>
    </row>
    <row r="46" spans="1:20" ht="14.25" customHeight="1" x14ac:dyDescent="0.3">
      <c r="A46" s="21" t="s">
        <v>142</v>
      </c>
      <c r="B46" s="22" t="s">
        <v>71</v>
      </c>
      <c r="C46" s="22" t="str">
        <f>IFERROR(INDEX(Customers!$B$2:$B$31,MATCH(B46,Customers!$A$2:$A$31,0)),"Unknown")</f>
        <v>Imran Mehta</v>
      </c>
      <c r="D46" s="22" t="str">
        <f>IFERROR(INDEX(Customers!$D$2:$D$31,MATCH(B46,Customers!$A$2:$A$31,0)),"Unknown")</f>
        <v>Central</v>
      </c>
      <c r="E46" s="22" t="s">
        <v>141</v>
      </c>
      <c r="F46" s="22" t="str">
        <f>IFERROR(INDEX(Products!$B$2:$B$31,MATCH(E46,Products!$A$2:$A$31,0)),"Unknown")</f>
        <v>Cook Book</v>
      </c>
      <c r="G46" s="22" t="str">
        <f>IFERROR(INDEX(Products!$C$2:$C$31,MATCH(E46,Products!$A$2:$A$31,0)),"Unknown")</f>
        <v>Books</v>
      </c>
      <c r="H46" s="23">
        <v>45359</v>
      </c>
      <c r="I46" s="22">
        <f t="shared" si="0"/>
        <v>3</v>
      </c>
      <c r="J46" s="22" t="str">
        <f t="shared" si="1"/>
        <v>Mar</v>
      </c>
      <c r="K46" s="22" t="str">
        <f t="shared" si="2"/>
        <v>Q1</v>
      </c>
      <c r="L46" s="22">
        <v>8</v>
      </c>
      <c r="M46" s="24">
        <v>2514.71</v>
      </c>
      <c r="N46" s="25">
        <v>0.05</v>
      </c>
      <c r="O46" s="24">
        <f>IFERROR(INDEX(Products!$D$2:$D$31,MATCH(E46,Products!$A$2:$A$31,0)),0)</f>
        <v>1996.83</v>
      </c>
      <c r="P46" s="24">
        <f t="shared" si="3"/>
        <v>19111.8</v>
      </c>
      <c r="Q46" s="24">
        <f t="shared" si="4"/>
        <v>3137.16</v>
      </c>
      <c r="R46" s="26">
        <f t="shared" si="5"/>
        <v>0.1641478039745079</v>
      </c>
      <c r="S46" s="22" t="str">
        <f t="shared" si="6"/>
        <v>Bulk</v>
      </c>
      <c r="T46" s="27" t="str">
        <f t="shared" si="7"/>
        <v>Medium</v>
      </c>
    </row>
    <row r="47" spans="1:20" ht="14.25" customHeight="1" x14ac:dyDescent="0.3">
      <c r="A47" s="21" t="s">
        <v>143</v>
      </c>
      <c r="B47" s="22" t="s">
        <v>144</v>
      </c>
      <c r="C47" s="22" t="str">
        <f>IFERROR(INDEX(Customers!$B$2:$B$31,MATCH(B47,Customers!$A$2:$A$31,0)),"Unknown")</f>
        <v>Navya Sharma</v>
      </c>
      <c r="D47" s="22" t="str">
        <f>IFERROR(INDEX(Customers!$D$2:$D$31,MATCH(B47,Customers!$A$2:$A$31,0)),"Unknown")</f>
        <v>South</v>
      </c>
      <c r="E47" s="22" t="s">
        <v>108</v>
      </c>
      <c r="F47" s="22" t="str">
        <f>IFERROR(INDEX(Products!$B$2:$B$31,MATCH(E47,Products!$A$2:$A$31,0)),"Unknown")</f>
        <v>Denim Jeans</v>
      </c>
      <c r="G47" s="22" t="str">
        <f>IFERROR(INDEX(Products!$C$2:$C$31,MATCH(E47,Products!$A$2:$A$31,0)),"Unknown")</f>
        <v>Apparel</v>
      </c>
      <c r="H47" s="23">
        <v>45359</v>
      </c>
      <c r="I47" s="22">
        <f t="shared" si="0"/>
        <v>3</v>
      </c>
      <c r="J47" s="22" t="str">
        <f t="shared" si="1"/>
        <v>Mar</v>
      </c>
      <c r="K47" s="22" t="str">
        <f t="shared" si="2"/>
        <v>Q1</v>
      </c>
      <c r="L47" s="22">
        <v>6</v>
      </c>
      <c r="M47" s="24">
        <v>994.2</v>
      </c>
      <c r="N47" s="25">
        <v>0</v>
      </c>
      <c r="O47" s="24">
        <f>IFERROR(INDEX(Products!$D$2:$D$31,MATCH(E47,Products!$A$2:$A$31,0)),0)</f>
        <v>715.83</v>
      </c>
      <c r="P47" s="24">
        <f t="shared" si="3"/>
        <v>5965.2</v>
      </c>
      <c r="Q47" s="24">
        <f t="shared" si="4"/>
        <v>1670.22</v>
      </c>
      <c r="R47" s="26">
        <f t="shared" si="5"/>
        <v>0.27999396499698254</v>
      </c>
      <c r="S47" s="22" t="str">
        <f t="shared" si="6"/>
        <v>Bulk</v>
      </c>
      <c r="T47" s="27" t="str">
        <f t="shared" si="7"/>
        <v>Medium</v>
      </c>
    </row>
    <row r="48" spans="1:20" ht="14.25" customHeight="1" x14ac:dyDescent="0.3">
      <c r="A48" s="21" t="s">
        <v>145</v>
      </c>
      <c r="B48" s="22" t="s">
        <v>110</v>
      </c>
      <c r="C48" s="22" t="str">
        <f>IFERROR(INDEX(Customers!$B$2:$B$31,MATCH(B48,Customers!$A$2:$A$31,0)),"Unknown")</f>
        <v>Kiara Iyer</v>
      </c>
      <c r="D48" s="22" t="str">
        <f>IFERROR(INDEX(Customers!$D$2:$D$31,MATCH(B48,Customers!$A$2:$A$31,0)),"Unknown")</f>
        <v>Central</v>
      </c>
      <c r="E48" s="22" t="s">
        <v>146</v>
      </c>
      <c r="F48" s="22" t="str">
        <f>IFERROR(INDEX(Products!$B$2:$B$31,MATCH(E48,Products!$A$2:$A$31,0)),"Unknown")</f>
        <v>Blender</v>
      </c>
      <c r="G48" s="22" t="str">
        <f>IFERROR(INDEX(Products!$C$2:$C$31,MATCH(E48,Products!$A$2:$A$31,0)),"Unknown")</f>
        <v>Home &amp; Kitchen</v>
      </c>
      <c r="H48" s="23">
        <v>45360</v>
      </c>
      <c r="I48" s="22">
        <f t="shared" si="0"/>
        <v>3</v>
      </c>
      <c r="J48" s="22" t="str">
        <f t="shared" si="1"/>
        <v>Mar</v>
      </c>
      <c r="K48" s="22" t="str">
        <f t="shared" si="2"/>
        <v>Q1</v>
      </c>
      <c r="L48" s="22">
        <v>8</v>
      </c>
      <c r="M48" s="24">
        <v>281.41000000000003</v>
      </c>
      <c r="N48" s="25">
        <v>0.1</v>
      </c>
      <c r="O48" s="24">
        <f>IFERROR(INDEX(Products!$D$2:$D$31,MATCH(E48,Products!$A$2:$A$31,0)),0)</f>
        <v>194.02</v>
      </c>
      <c r="P48" s="24">
        <f t="shared" si="3"/>
        <v>2026.15</v>
      </c>
      <c r="Q48" s="24">
        <f t="shared" si="4"/>
        <v>473.99</v>
      </c>
      <c r="R48" s="26">
        <f t="shared" si="5"/>
        <v>0.23393628309848727</v>
      </c>
      <c r="S48" s="22" t="str">
        <f t="shared" si="6"/>
        <v>Bulk</v>
      </c>
      <c r="T48" s="27" t="str">
        <f t="shared" si="7"/>
        <v>Medium</v>
      </c>
    </row>
    <row r="49" spans="1:20" ht="14.25" customHeight="1" x14ac:dyDescent="0.3">
      <c r="A49" s="21" t="s">
        <v>147</v>
      </c>
      <c r="B49" s="22" t="s">
        <v>71</v>
      </c>
      <c r="C49" s="22" t="str">
        <f>IFERROR(INDEX(Customers!$B$2:$B$31,MATCH(B49,Customers!$A$2:$A$31,0)),"Unknown")</f>
        <v>Imran Mehta</v>
      </c>
      <c r="D49" s="22" t="str">
        <f>IFERROR(INDEX(Customers!$D$2:$D$31,MATCH(B49,Customers!$A$2:$A$31,0)),"Unknown")</f>
        <v>Central</v>
      </c>
      <c r="E49" s="22" t="s">
        <v>131</v>
      </c>
      <c r="F49" s="22" t="str">
        <f>IFERROR(INDEX(Products!$B$2:$B$31,MATCH(E49,Products!$A$2:$A$31,0)),"Unknown")</f>
        <v>Sunscreen</v>
      </c>
      <c r="G49" s="22" t="str">
        <f>IFERROR(INDEX(Products!$C$2:$C$31,MATCH(E49,Products!$A$2:$A$31,0)),"Unknown")</f>
        <v>Beauty</v>
      </c>
      <c r="H49" s="23">
        <v>45362</v>
      </c>
      <c r="I49" s="22">
        <f t="shared" si="0"/>
        <v>3</v>
      </c>
      <c r="J49" s="22" t="str">
        <f t="shared" si="1"/>
        <v>Mar</v>
      </c>
      <c r="K49" s="22" t="str">
        <f t="shared" si="2"/>
        <v>Q1</v>
      </c>
      <c r="L49" s="22">
        <v>5</v>
      </c>
      <c r="M49" s="24">
        <v>2769.3</v>
      </c>
      <c r="N49" s="25">
        <v>0</v>
      </c>
      <c r="O49" s="24">
        <f>IFERROR(INDEX(Products!$D$2:$D$31,MATCH(E49,Products!$A$2:$A$31,0)),0)</f>
        <v>2163.09</v>
      </c>
      <c r="P49" s="24">
        <f t="shared" si="3"/>
        <v>13846.5</v>
      </c>
      <c r="Q49" s="24">
        <f t="shared" si="4"/>
        <v>3031.05</v>
      </c>
      <c r="R49" s="26">
        <f t="shared" si="5"/>
        <v>0.21890369407431481</v>
      </c>
      <c r="S49" s="22" t="str">
        <f t="shared" si="6"/>
        <v>Bulk</v>
      </c>
      <c r="T49" s="27" t="str">
        <f t="shared" si="7"/>
        <v>Medium</v>
      </c>
    </row>
    <row r="50" spans="1:20" ht="14.25" customHeight="1" x14ac:dyDescent="0.3">
      <c r="A50" s="21" t="s">
        <v>148</v>
      </c>
      <c r="B50" s="22" t="s">
        <v>96</v>
      </c>
      <c r="C50" s="22" t="str">
        <f>IFERROR(INDEX(Customers!$B$2:$B$31,MATCH(B50,Customers!$A$2:$A$31,0)),"Unknown")</f>
        <v>Sai Khan</v>
      </c>
      <c r="D50" s="22" t="str">
        <f>IFERROR(INDEX(Customers!$D$2:$D$31,MATCH(B50,Customers!$A$2:$A$31,0)),"Unknown")</f>
        <v>East</v>
      </c>
      <c r="E50" s="22" t="s">
        <v>131</v>
      </c>
      <c r="F50" s="22" t="str">
        <f>IFERROR(INDEX(Products!$B$2:$B$31,MATCH(E50,Products!$A$2:$A$31,0)),"Unknown")</f>
        <v>Sunscreen</v>
      </c>
      <c r="G50" s="22" t="str">
        <f>IFERROR(INDEX(Products!$C$2:$C$31,MATCH(E50,Products!$A$2:$A$31,0)),"Unknown")</f>
        <v>Beauty</v>
      </c>
      <c r="H50" s="23">
        <v>45367</v>
      </c>
      <c r="I50" s="22">
        <f t="shared" si="0"/>
        <v>3</v>
      </c>
      <c r="J50" s="22" t="str">
        <f t="shared" si="1"/>
        <v>Mar</v>
      </c>
      <c r="K50" s="22" t="str">
        <f t="shared" si="2"/>
        <v>Q1</v>
      </c>
      <c r="L50" s="22">
        <v>1</v>
      </c>
      <c r="M50" s="24">
        <v>2757.45</v>
      </c>
      <c r="N50" s="25">
        <v>0</v>
      </c>
      <c r="O50" s="24">
        <f>IFERROR(INDEX(Products!$D$2:$D$31,MATCH(E50,Products!$A$2:$A$31,0)),0)</f>
        <v>2163.09</v>
      </c>
      <c r="P50" s="24">
        <f t="shared" si="3"/>
        <v>2757.45</v>
      </c>
      <c r="Q50" s="24">
        <f t="shared" si="4"/>
        <v>594.36</v>
      </c>
      <c r="R50" s="26">
        <f t="shared" si="5"/>
        <v>0.21554697274655935</v>
      </c>
      <c r="S50" s="22" t="str">
        <f t="shared" si="6"/>
        <v>Regular</v>
      </c>
      <c r="T50" s="27" t="str">
        <f t="shared" si="7"/>
        <v>Medium</v>
      </c>
    </row>
    <row r="51" spans="1:20" ht="14.25" customHeight="1" x14ac:dyDescent="0.3">
      <c r="A51" s="21" t="s">
        <v>149</v>
      </c>
      <c r="B51" s="22" t="s">
        <v>59</v>
      </c>
      <c r="C51" s="22" t="str">
        <f>IFERROR(INDEX(Customers!$B$2:$B$31,MATCH(B51,Customers!$A$2:$A$31,0)),"Unknown")</f>
        <v>Diya Reddy</v>
      </c>
      <c r="D51" s="22" t="str">
        <f>IFERROR(INDEX(Customers!$D$2:$D$31,MATCH(B51,Customers!$A$2:$A$31,0)),"Unknown")</f>
        <v>East</v>
      </c>
      <c r="E51" s="22" t="s">
        <v>72</v>
      </c>
      <c r="F51" s="22" t="str">
        <f>IFERROR(INDEX(Products!$B$2:$B$31,MATCH(E51,Products!$A$2:$A$31,0)),"Unknown")</f>
        <v>Cricket Bat</v>
      </c>
      <c r="G51" s="22" t="str">
        <f>IFERROR(INDEX(Products!$C$2:$C$31,MATCH(E51,Products!$A$2:$A$31,0)),"Unknown")</f>
        <v>Sports</v>
      </c>
      <c r="H51" s="23">
        <v>45367</v>
      </c>
      <c r="I51" s="22">
        <f t="shared" si="0"/>
        <v>3</v>
      </c>
      <c r="J51" s="22" t="str">
        <f t="shared" si="1"/>
        <v>Mar</v>
      </c>
      <c r="K51" s="22" t="str">
        <f t="shared" si="2"/>
        <v>Q1</v>
      </c>
      <c r="L51" s="22">
        <v>4</v>
      </c>
      <c r="M51" s="24">
        <v>2182.16</v>
      </c>
      <c r="N51" s="25">
        <v>0</v>
      </c>
      <c r="O51" s="24">
        <f>IFERROR(INDEX(Products!$D$2:$D$31,MATCH(E51,Products!$A$2:$A$31,0)),0)</f>
        <v>1824.15</v>
      </c>
      <c r="P51" s="24">
        <f t="shared" si="3"/>
        <v>8728.64</v>
      </c>
      <c r="Q51" s="24">
        <f t="shared" si="4"/>
        <v>1432.04</v>
      </c>
      <c r="R51" s="26">
        <f t="shared" si="5"/>
        <v>0.16406221358653811</v>
      </c>
      <c r="S51" s="22" t="str">
        <f t="shared" si="6"/>
        <v>Regular</v>
      </c>
      <c r="T51" s="27" t="str">
        <f t="shared" si="7"/>
        <v>Medium</v>
      </c>
    </row>
    <row r="52" spans="1:20" ht="14.25" customHeight="1" x14ac:dyDescent="0.3">
      <c r="A52" s="21" t="s">
        <v>150</v>
      </c>
      <c r="B52" s="22" t="s">
        <v>116</v>
      </c>
      <c r="C52" s="22" t="str">
        <f>IFERROR(INDEX(Customers!$B$2:$B$31,MATCH(B52,Customers!$A$2:$A$31,0)),"Unknown")</f>
        <v>Kabir Patel</v>
      </c>
      <c r="D52" s="22" t="str">
        <f>IFERROR(INDEX(Customers!$D$2:$D$31,MATCH(B52,Customers!$A$2:$A$31,0)),"Unknown")</f>
        <v>Central</v>
      </c>
      <c r="E52" s="22" t="s">
        <v>117</v>
      </c>
      <c r="F52" s="22" t="str">
        <f>IFERROR(INDEX(Products!$B$2:$B$31,MATCH(E52,Products!$A$2:$A$31,0)),"Unknown")</f>
        <v>Face Wash</v>
      </c>
      <c r="G52" s="22" t="str">
        <f>IFERROR(INDEX(Products!$C$2:$C$31,MATCH(E52,Products!$A$2:$A$31,0)),"Unknown")</f>
        <v>Beauty</v>
      </c>
      <c r="H52" s="23">
        <v>45368</v>
      </c>
      <c r="I52" s="22">
        <f t="shared" si="0"/>
        <v>3</v>
      </c>
      <c r="J52" s="22" t="str">
        <f t="shared" si="1"/>
        <v>Mar</v>
      </c>
      <c r="K52" s="22" t="str">
        <f t="shared" si="2"/>
        <v>Q1</v>
      </c>
      <c r="L52" s="22">
        <v>5</v>
      </c>
      <c r="M52" s="24">
        <v>1527.34</v>
      </c>
      <c r="N52" s="25">
        <v>0</v>
      </c>
      <c r="O52" s="24">
        <f>IFERROR(INDEX(Products!$D$2:$D$31,MATCH(E52,Products!$A$2:$A$31,0)),0)</f>
        <v>1003.52</v>
      </c>
      <c r="P52" s="24">
        <f t="shared" si="3"/>
        <v>7636.7</v>
      </c>
      <c r="Q52" s="24">
        <f t="shared" si="4"/>
        <v>2619.1</v>
      </c>
      <c r="R52" s="26">
        <f t="shared" si="5"/>
        <v>0.34296227428077575</v>
      </c>
      <c r="S52" s="22" t="str">
        <f t="shared" si="6"/>
        <v>Bulk</v>
      </c>
      <c r="T52" s="27" t="str">
        <f t="shared" si="7"/>
        <v>High</v>
      </c>
    </row>
    <row r="53" spans="1:20" ht="14.25" customHeight="1" x14ac:dyDescent="0.3">
      <c r="A53" s="21" t="s">
        <v>151</v>
      </c>
      <c r="B53" s="22" t="s">
        <v>129</v>
      </c>
      <c r="C53" s="22" t="str">
        <f>IFERROR(INDEX(Customers!$B$2:$B$31,MATCH(B53,Customers!$A$2:$A$31,0)),"Unknown")</f>
        <v>Sana Chatterjee</v>
      </c>
      <c r="D53" s="22" t="str">
        <f>IFERROR(INDEX(Customers!$D$2:$D$31,MATCH(B53,Customers!$A$2:$A$31,0)),"Unknown")</f>
        <v>North</v>
      </c>
      <c r="E53" s="22" t="s">
        <v>66</v>
      </c>
      <c r="F53" s="22" t="str">
        <f>IFERROR(INDEX(Products!$B$2:$B$31,MATCH(E53,Products!$A$2:$A$31,0)),"Unknown")</f>
        <v>USB-C Cable</v>
      </c>
      <c r="G53" s="22" t="str">
        <f>IFERROR(INDEX(Products!$C$2:$C$31,MATCH(E53,Products!$A$2:$A$31,0)),"Unknown")</f>
        <v>Electronics</v>
      </c>
      <c r="H53" s="23">
        <v>45369</v>
      </c>
      <c r="I53" s="22">
        <f t="shared" si="0"/>
        <v>3</v>
      </c>
      <c r="J53" s="22" t="str">
        <f t="shared" si="1"/>
        <v>Mar</v>
      </c>
      <c r="K53" s="22" t="str">
        <f t="shared" si="2"/>
        <v>Q1</v>
      </c>
      <c r="L53" s="22">
        <v>4</v>
      </c>
      <c r="M53" s="24">
        <v>895.03</v>
      </c>
      <c r="N53" s="25">
        <v>0</v>
      </c>
      <c r="O53" s="24">
        <f>IFERROR(INDEX(Products!$D$2:$D$31,MATCH(E53,Products!$A$2:$A$31,0)),0)</f>
        <v>676.84</v>
      </c>
      <c r="P53" s="24">
        <f t="shared" si="3"/>
        <v>3580.12</v>
      </c>
      <c r="Q53" s="24">
        <f t="shared" si="4"/>
        <v>872.76</v>
      </c>
      <c r="R53" s="26">
        <f t="shared" si="5"/>
        <v>0.24377953811604081</v>
      </c>
      <c r="S53" s="22" t="str">
        <f t="shared" si="6"/>
        <v>Regular</v>
      </c>
      <c r="T53" s="27" t="str">
        <f t="shared" si="7"/>
        <v>Medium</v>
      </c>
    </row>
    <row r="54" spans="1:20" ht="14.25" customHeight="1" x14ac:dyDescent="0.3">
      <c r="A54" s="21" t="s">
        <v>152</v>
      </c>
      <c r="B54" s="22" t="s">
        <v>153</v>
      </c>
      <c r="C54" s="22" t="str">
        <f>IFERROR(INDEX(Customers!$B$2:$B$31,MATCH(B54,Customers!$A$2:$A$31,0)),"Unknown")</f>
        <v>Rohan Sharma</v>
      </c>
      <c r="D54" s="22" t="str">
        <f>IFERROR(INDEX(Customers!$D$2:$D$31,MATCH(B54,Customers!$A$2:$A$31,0)),"Unknown")</f>
        <v>North</v>
      </c>
      <c r="E54" s="22" t="s">
        <v>117</v>
      </c>
      <c r="F54" s="22" t="str">
        <f>IFERROR(INDEX(Products!$B$2:$B$31,MATCH(E54,Products!$A$2:$A$31,0)),"Unknown")</f>
        <v>Face Wash</v>
      </c>
      <c r="G54" s="22" t="str">
        <f>IFERROR(INDEX(Products!$C$2:$C$31,MATCH(E54,Products!$A$2:$A$31,0)),"Unknown")</f>
        <v>Beauty</v>
      </c>
      <c r="H54" s="23">
        <v>45369</v>
      </c>
      <c r="I54" s="22">
        <f t="shared" si="0"/>
        <v>3</v>
      </c>
      <c r="J54" s="22" t="str">
        <f t="shared" si="1"/>
        <v>Mar</v>
      </c>
      <c r="K54" s="22" t="str">
        <f t="shared" si="2"/>
        <v>Q1</v>
      </c>
      <c r="L54" s="22">
        <v>8</v>
      </c>
      <c r="M54" s="24">
        <v>1589.75</v>
      </c>
      <c r="N54" s="25">
        <v>0</v>
      </c>
      <c r="O54" s="24">
        <f>IFERROR(INDEX(Products!$D$2:$D$31,MATCH(E54,Products!$A$2:$A$31,0)),0)</f>
        <v>1003.52</v>
      </c>
      <c r="P54" s="24">
        <f t="shared" si="3"/>
        <v>12718</v>
      </c>
      <c r="Q54" s="24">
        <f t="shared" si="4"/>
        <v>4689.84</v>
      </c>
      <c r="R54" s="26">
        <f t="shared" si="5"/>
        <v>0.36875609372542856</v>
      </c>
      <c r="S54" s="22" t="str">
        <f t="shared" si="6"/>
        <v>Bulk</v>
      </c>
      <c r="T54" s="27" t="str">
        <f t="shared" si="7"/>
        <v>High</v>
      </c>
    </row>
    <row r="55" spans="1:20" ht="14.25" customHeight="1" x14ac:dyDescent="0.3">
      <c r="A55" s="21" t="s">
        <v>154</v>
      </c>
      <c r="B55" s="22" t="s">
        <v>104</v>
      </c>
      <c r="C55" s="22" t="str">
        <f>IFERROR(INDEX(Customers!$B$2:$B$31,MATCH(B55,Customers!$A$2:$A$31,0)),"Unknown")</f>
        <v>Ishaan Chatterjee</v>
      </c>
      <c r="D55" s="22" t="str">
        <f>IFERROR(INDEX(Customers!$D$2:$D$31,MATCH(B55,Customers!$A$2:$A$31,0)),"Unknown")</f>
        <v>West</v>
      </c>
      <c r="E55" s="22" t="s">
        <v>155</v>
      </c>
      <c r="F55" s="22" t="str">
        <f>IFERROR(INDEX(Products!$B$2:$B$31,MATCH(E55,Products!$A$2:$A$31,0)),"Unknown")</f>
        <v>Lipstick</v>
      </c>
      <c r="G55" s="22" t="str">
        <f>IFERROR(INDEX(Products!$C$2:$C$31,MATCH(E55,Products!$A$2:$A$31,0)),"Unknown")</f>
        <v>Beauty</v>
      </c>
      <c r="H55" s="23">
        <v>45370</v>
      </c>
      <c r="I55" s="22">
        <f t="shared" si="0"/>
        <v>3</v>
      </c>
      <c r="J55" s="22" t="str">
        <f t="shared" si="1"/>
        <v>Mar</v>
      </c>
      <c r="K55" s="22" t="str">
        <f t="shared" si="2"/>
        <v>Q1</v>
      </c>
      <c r="L55" s="22">
        <v>7</v>
      </c>
      <c r="M55" s="24">
        <v>1672.36</v>
      </c>
      <c r="N55" s="25">
        <v>0.1</v>
      </c>
      <c r="O55" s="24">
        <f>IFERROR(INDEX(Products!$D$2:$D$31,MATCH(E55,Products!$A$2:$A$31,0)),0)</f>
        <v>1360.46</v>
      </c>
      <c r="P55" s="24">
        <f t="shared" si="3"/>
        <v>10535.87</v>
      </c>
      <c r="Q55" s="24">
        <f t="shared" si="4"/>
        <v>1012.65</v>
      </c>
      <c r="R55" s="26">
        <f t="shared" si="5"/>
        <v>9.6114511663488625E-2</v>
      </c>
      <c r="S55" s="22" t="str">
        <f t="shared" si="6"/>
        <v>Bulk</v>
      </c>
      <c r="T55" s="27" t="str">
        <f t="shared" si="7"/>
        <v>Low</v>
      </c>
    </row>
    <row r="56" spans="1:20" ht="14.25" customHeight="1" x14ac:dyDescent="0.3">
      <c r="A56" s="21" t="s">
        <v>156</v>
      </c>
      <c r="B56" s="22" t="s">
        <v>101</v>
      </c>
      <c r="C56" s="22" t="str">
        <f>IFERROR(INDEX(Customers!$B$2:$B$31,MATCH(B56,Customers!$A$2:$A$31,0)),"Unknown")</f>
        <v>Ayaan Verma</v>
      </c>
      <c r="D56" s="22" t="str">
        <f>IFERROR(INDEX(Customers!$D$2:$D$31,MATCH(B56,Customers!$A$2:$A$31,0)),"Unknown")</f>
        <v>East</v>
      </c>
      <c r="E56" s="22" t="s">
        <v>117</v>
      </c>
      <c r="F56" s="22" t="str">
        <f>IFERROR(INDEX(Products!$B$2:$B$31,MATCH(E56,Products!$A$2:$A$31,0)),"Unknown")</f>
        <v>Face Wash</v>
      </c>
      <c r="G56" s="22" t="str">
        <f>IFERROR(INDEX(Products!$C$2:$C$31,MATCH(E56,Products!$A$2:$A$31,0)),"Unknown")</f>
        <v>Beauty</v>
      </c>
      <c r="H56" s="23">
        <v>45371</v>
      </c>
      <c r="I56" s="22">
        <f t="shared" si="0"/>
        <v>3</v>
      </c>
      <c r="J56" s="22" t="str">
        <f t="shared" si="1"/>
        <v>Mar</v>
      </c>
      <c r="K56" s="22" t="str">
        <f t="shared" si="2"/>
        <v>Q1</v>
      </c>
      <c r="L56" s="22">
        <v>2</v>
      </c>
      <c r="M56" s="24">
        <v>1366.06</v>
      </c>
      <c r="N56" s="25">
        <v>0</v>
      </c>
      <c r="O56" s="24">
        <f>IFERROR(INDEX(Products!$D$2:$D$31,MATCH(E56,Products!$A$2:$A$31,0)),0)</f>
        <v>1003.52</v>
      </c>
      <c r="P56" s="24">
        <f t="shared" si="3"/>
        <v>2732.12</v>
      </c>
      <c r="Q56" s="24">
        <f t="shared" si="4"/>
        <v>725.08</v>
      </c>
      <c r="R56" s="26">
        <f t="shared" si="5"/>
        <v>0.26539097843432941</v>
      </c>
      <c r="S56" s="22" t="str">
        <f t="shared" si="6"/>
        <v>Regular</v>
      </c>
      <c r="T56" s="27" t="str">
        <f t="shared" si="7"/>
        <v>Medium</v>
      </c>
    </row>
    <row r="57" spans="1:20" ht="14.25" customHeight="1" x14ac:dyDescent="0.3">
      <c r="A57" s="21" t="s">
        <v>157</v>
      </c>
      <c r="B57" s="22" t="s">
        <v>158</v>
      </c>
      <c r="C57" s="22" t="str">
        <f>IFERROR(INDEX(Customers!$B$2:$B$31,MATCH(B57,Customers!$A$2:$A$31,0)),"Unknown")</f>
        <v>Kiara Khan</v>
      </c>
      <c r="D57" s="22" t="str">
        <f>IFERROR(INDEX(Customers!$D$2:$D$31,MATCH(B57,Customers!$A$2:$A$31,0)),"Unknown")</f>
        <v>Central</v>
      </c>
      <c r="E57" s="22" t="s">
        <v>108</v>
      </c>
      <c r="F57" s="22" t="str">
        <f>IFERROR(INDEX(Products!$B$2:$B$31,MATCH(E57,Products!$A$2:$A$31,0)),"Unknown")</f>
        <v>Denim Jeans</v>
      </c>
      <c r="G57" s="22" t="str">
        <f>IFERROR(INDEX(Products!$C$2:$C$31,MATCH(E57,Products!$A$2:$A$31,0)),"Unknown")</f>
        <v>Apparel</v>
      </c>
      <c r="H57" s="23">
        <v>45371</v>
      </c>
      <c r="I57" s="22">
        <f t="shared" si="0"/>
        <v>3</v>
      </c>
      <c r="J57" s="22" t="str">
        <f t="shared" si="1"/>
        <v>Mar</v>
      </c>
      <c r="K57" s="22" t="str">
        <f t="shared" si="2"/>
        <v>Q1</v>
      </c>
      <c r="L57" s="22">
        <v>8</v>
      </c>
      <c r="M57" s="24">
        <v>990.1</v>
      </c>
      <c r="N57" s="25">
        <v>0</v>
      </c>
      <c r="O57" s="24">
        <f>IFERROR(INDEX(Products!$D$2:$D$31,MATCH(E57,Products!$A$2:$A$31,0)),0)</f>
        <v>715.83</v>
      </c>
      <c r="P57" s="24">
        <f t="shared" si="3"/>
        <v>7920.8</v>
      </c>
      <c r="Q57" s="24">
        <f t="shared" si="4"/>
        <v>2194.16</v>
      </c>
      <c r="R57" s="26">
        <f t="shared" si="5"/>
        <v>0.277012422987577</v>
      </c>
      <c r="S57" s="22" t="str">
        <f t="shared" si="6"/>
        <v>Bulk</v>
      </c>
      <c r="T57" s="27" t="str">
        <f t="shared" si="7"/>
        <v>Medium</v>
      </c>
    </row>
    <row r="58" spans="1:20" ht="14.25" customHeight="1" x14ac:dyDescent="0.3">
      <c r="A58" s="21" t="s">
        <v>159</v>
      </c>
      <c r="B58" s="22" t="s">
        <v>104</v>
      </c>
      <c r="C58" s="22" t="str">
        <f>IFERROR(INDEX(Customers!$B$2:$B$31,MATCH(B58,Customers!$A$2:$A$31,0)),"Unknown")</f>
        <v>Ishaan Chatterjee</v>
      </c>
      <c r="D58" s="22" t="str">
        <f>IFERROR(INDEX(Customers!$D$2:$D$31,MATCH(B58,Customers!$A$2:$A$31,0)),"Unknown")</f>
        <v>West</v>
      </c>
      <c r="E58" s="22" t="s">
        <v>80</v>
      </c>
      <c r="F58" s="22" t="str">
        <f>IFERROR(INDEX(Products!$B$2:$B$31,MATCH(E58,Products!$A$2:$A$31,0)),"Unknown")</f>
        <v>Dumbbell Set</v>
      </c>
      <c r="G58" s="22" t="str">
        <f>IFERROR(INDEX(Products!$C$2:$C$31,MATCH(E58,Products!$A$2:$A$31,0)),"Unknown")</f>
        <v>Sports</v>
      </c>
      <c r="H58" s="23">
        <v>45373</v>
      </c>
      <c r="I58" s="22">
        <f t="shared" si="0"/>
        <v>3</v>
      </c>
      <c r="J58" s="22" t="str">
        <f t="shared" si="1"/>
        <v>Mar</v>
      </c>
      <c r="K58" s="22" t="str">
        <f t="shared" si="2"/>
        <v>Q1</v>
      </c>
      <c r="L58" s="22">
        <v>8</v>
      </c>
      <c r="M58" s="24">
        <v>1865.78</v>
      </c>
      <c r="N58" s="25">
        <v>0.2</v>
      </c>
      <c r="O58" s="24">
        <f>IFERROR(INDEX(Products!$D$2:$D$31,MATCH(E58,Products!$A$2:$A$31,0)),0)</f>
        <v>1379.47</v>
      </c>
      <c r="P58" s="24">
        <f t="shared" si="3"/>
        <v>11940.99</v>
      </c>
      <c r="Q58" s="24">
        <f t="shared" si="4"/>
        <v>905.23</v>
      </c>
      <c r="R58" s="26">
        <f t="shared" si="5"/>
        <v>7.5808622233164924E-2</v>
      </c>
      <c r="S58" s="22" t="str">
        <f t="shared" si="6"/>
        <v>Bulk</v>
      </c>
      <c r="T58" s="27" t="str">
        <f t="shared" si="7"/>
        <v>Low</v>
      </c>
    </row>
    <row r="59" spans="1:20" ht="14.25" customHeight="1" x14ac:dyDescent="0.3">
      <c r="A59" s="21" t="s">
        <v>160</v>
      </c>
      <c r="B59" s="22" t="s">
        <v>161</v>
      </c>
      <c r="C59" s="22" t="str">
        <f>IFERROR(INDEX(Customers!$B$2:$B$31,MATCH(B59,Customers!$A$2:$A$31,0)),"Unknown")</f>
        <v>Zara Reddy</v>
      </c>
      <c r="D59" s="22" t="str">
        <f>IFERROR(INDEX(Customers!$D$2:$D$31,MATCH(B59,Customers!$A$2:$A$31,0)),"Unknown")</f>
        <v>Central</v>
      </c>
      <c r="E59" s="22" t="s">
        <v>102</v>
      </c>
      <c r="F59" s="22" t="str">
        <f>IFERROR(INDEX(Products!$B$2:$B$31,MATCH(E59,Products!$A$2:$A$31,0)),"Unknown")</f>
        <v>Storage Jars Set</v>
      </c>
      <c r="G59" s="22" t="str">
        <f>IFERROR(INDEX(Products!$C$2:$C$31,MATCH(E59,Products!$A$2:$A$31,0)),"Unknown")</f>
        <v>Home &amp; Kitchen</v>
      </c>
      <c r="H59" s="23">
        <v>45376</v>
      </c>
      <c r="I59" s="22">
        <f t="shared" si="0"/>
        <v>3</v>
      </c>
      <c r="J59" s="22" t="str">
        <f t="shared" si="1"/>
        <v>Mar</v>
      </c>
      <c r="K59" s="22" t="str">
        <f t="shared" si="2"/>
        <v>Q1</v>
      </c>
      <c r="L59" s="22">
        <v>8</v>
      </c>
      <c r="M59" s="24">
        <v>2053.34</v>
      </c>
      <c r="N59" s="25">
        <v>0.1</v>
      </c>
      <c r="O59" s="24">
        <f>IFERROR(INDEX(Products!$D$2:$D$31,MATCH(E59,Products!$A$2:$A$31,0)),0)</f>
        <v>1313.05</v>
      </c>
      <c r="P59" s="24">
        <f t="shared" si="3"/>
        <v>14784.05</v>
      </c>
      <c r="Q59" s="24">
        <f t="shared" si="4"/>
        <v>4279.6499999999996</v>
      </c>
      <c r="R59" s="26">
        <f t="shared" si="5"/>
        <v>0.28947751123677207</v>
      </c>
      <c r="S59" s="22" t="str">
        <f t="shared" si="6"/>
        <v>Bulk</v>
      </c>
      <c r="T59" s="27" t="str">
        <f t="shared" si="7"/>
        <v>Medium</v>
      </c>
    </row>
    <row r="60" spans="1:20" ht="14.25" customHeight="1" x14ac:dyDescent="0.3">
      <c r="A60" s="21" t="s">
        <v>162</v>
      </c>
      <c r="B60" s="22" t="s">
        <v>101</v>
      </c>
      <c r="C60" s="22" t="str">
        <f>IFERROR(INDEX(Customers!$B$2:$B$31,MATCH(B60,Customers!$A$2:$A$31,0)),"Unknown")</f>
        <v>Ayaan Verma</v>
      </c>
      <c r="D60" s="22" t="str">
        <f>IFERROR(INDEX(Customers!$D$2:$D$31,MATCH(B60,Customers!$A$2:$A$31,0)),"Unknown")</f>
        <v>East</v>
      </c>
      <c r="E60" s="22" t="s">
        <v>163</v>
      </c>
      <c r="F60" s="22" t="str">
        <f>IFERROR(INDEX(Products!$B$2:$B$31,MATCH(E60,Products!$A$2:$A$31,0)),"Unknown")</f>
        <v>Formal Shirt</v>
      </c>
      <c r="G60" s="22" t="str">
        <f>IFERROR(INDEX(Products!$C$2:$C$31,MATCH(E60,Products!$A$2:$A$31,0)),"Unknown")</f>
        <v>Apparel</v>
      </c>
      <c r="H60" s="23">
        <v>45377</v>
      </c>
      <c r="I60" s="22">
        <f t="shared" si="0"/>
        <v>3</v>
      </c>
      <c r="J60" s="22" t="str">
        <f t="shared" si="1"/>
        <v>Mar</v>
      </c>
      <c r="K60" s="22" t="str">
        <f t="shared" si="2"/>
        <v>Q1</v>
      </c>
      <c r="L60" s="22">
        <v>7</v>
      </c>
      <c r="M60" s="24">
        <v>2045.55</v>
      </c>
      <c r="N60" s="25">
        <v>0</v>
      </c>
      <c r="O60" s="24">
        <f>IFERROR(INDEX(Products!$D$2:$D$31,MATCH(E60,Products!$A$2:$A$31,0)),0)</f>
        <v>1494.7</v>
      </c>
      <c r="P60" s="24">
        <f t="shared" si="3"/>
        <v>14318.85</v>
      </c>
      <c r="Q60" s="24">
        <f t="shared" si="4"/>
        <v>3855.95</v>
      </c>
      <c r="R60" s="26">
        <f t="shared" si="5"/>
        <v>0.26929187749016154</v>
      </c>
      <c r="S60" s="22" t="str">
        <f t="shared" si="6"/>
        <v>Bulk</v>
      </c>
      <c r="T60" s="27" t="str">
        <f t="shared" si="7"/>
        <v>Medium</v>
      </c>
    </row>
    <row r="61" spans="1:20" ht="14.25" customHeight="1" x14ac:dyDescent="0.3">
      <c r="A61" s="21" t="s">
        <v>164</v>
      </c>
      <c r="B61" s="22" t="s">
        <v>90</v>
      </c>
      <c r="C61" s="22" t="str">
        <f>IFERROR(INDEX(Customers!$B$2:$B$31,MATCH(B61,Customers!$A$2:$A$31,0)),"Unknown")</f>
        <v>Ayaan Chatterjee</v>
      </c>
      <c r="D61" s="22" t="str">
        <f>IFERROR(INDEX(Customers!$D$2:$D$31,MATCH(B61,Customers!$A$2:$A$31,0)),"Unknown")</f>
        <v>West</v>
      </c>
      <c r="E61" s="22" t="s">
        <v>86</v>
      </c>
      <c r="F61" s="22" t="str">
        <f>IFERROR(INDEX(Products!$B$2:$B$31,MATCH(E61,Products!$A$2:$A$31,0)),"Unknown")</f>
        <v>Electric Kettle</v>
      </c>
      <c r="G61" s="22" t="str">
        <f>IFERROR(INDEX(Products!$C$2:$C$31,MATCH(E61,Products!$A$2:$A$31,0)),"Unknown")</f>
        <v>Home &amp; Kitchen</v>
      </c>
      <c r="H61" s="23">
        <v>45377</v>
      </c>
      <c r="I61" s="22">
        <f t="shared" si="0"/>
        <v>3</v>
      </c>
      <c r="J61" s="22" t="str">
        <f t="shared" si="1"/>
        <v>Mar</v>
      </c>
      <c r="K61" s="22" t="str">
        <f t="shared" si="2"/>
        <v>Q1</v>
      </c>
      <c r="L61" s="22">
        <v>2</v>
      </c>
      <c r="M61" s="24">
        <v>3741.08</v>
      </c>
      <c r="N61" s="25">
        <v>0</v>
      </c>
      <c r="O61" s="24">
        <f>IFERROR(INDEX(Products!$D$2:$D$31,MATCH(E61,Products!$A$2:$A$31,0)),0)</f>
        <v>2494.04</v>
      </c>
      <c r="P61" s="24">
        <f t="shared" si="3"/>
        <v>7482.16</v>
      </c>
      <c r="Q61" s="24">
        <f t="shared" si="4"/>
        <v>2494.08</v>
      </c>
      <c r="R61" s="26">
        <f t="shared" si="5"/>
        <v>0.33333689736653588</v>
      </c>
      <c r="S61" s="22" t="str">
        <f t="shared" si="6"/>
        <v>Regular</v>
      </c>
      <c r="T61" s="27" t="str">
        <f t="shared" si="7"/>
        <v>High</v>
      </c>
    </row>
    <row r="62" spans="1:20" ht="14.25" customHeight="1" x14ac:dyDescent="0.3">
      <c r="A62" s="21" t="s">
        <v>165</v>
      </c>
      <c r="B62" s="22" t="s">
        <v>96</v>
      </c>
      <c r="C62" s="22" t="str">
        <f>IFERROR(INDEX(Customers!$B$2:$B$31,MATCH(B62,Customers!$A$2:$A$31,0)),"Unknown")</f>
        <v>Sai Khan</v>
      </c>
      <c r="D62" s="22" t="str">
        <f>IFERROR(INDEX(Customers!$D$2:$D$31,MATCH(B62,Customers!$A$2:$A$31,0)),"Unknown")</f>
        <v>East</v>
      </c>
      <c r="E62" s="22" t="s">
        <v>131</v>
      </c>
      <c r="F62" s="22" t="str">
        <f>IFERROR(INDEX(Products!$B$2:$B$31,MATCH(E62,Products!$A$2:$A$31,0)),"Unknown")</f>
        <v>Sunscreen</v>
      </c>
      <c r="G62" s="22" t="str">
        <f>IFERROR(INDEX(Products!$C$2:$C$31,MATCH(E62,Products!$A$2:$A$31,0)),"Unknown")</f>
        <v>Beauty</v>
      </c>
      <c r="H62" s="23">
        <v>45378</v>
      </c>
      <c r="I62" s="22">
        <f t="shared" si="0"/>
        <v>3</v>
      </c>
      <c r="J62" s="22" t="str">
        <f t="shared" si="1"/>
        <v>Mar</v>
      </c>
      <c r="K62" s="22" t="str">
        <f t="shared" si="2"/>
        <v>Q1</v>
      </c>
      <c r="L62" s="22">
        <v>2</v>
      </c>
      <c r="M62" s="24">
        <v>2984.45</v>
      </c>
      <c r="N62" s="25">
        <v>0</v>
      </c>
      <c r="O62" s="24">
        <f>IFERROR(INDEX(Products!$D$2:$D$31,MATCH(E62,Products!$A$2:$A$31,0)),0)</f>
        <v>2163.09</v>
      </c>
      <c r="P62" s="24">
        <f t="shared" si="3"/>
        <v>5968.9</v>
      </c>
      <c r="Q62" s="24">
        <f t="shared" si="4"/>
        <v>1642.72</v>
      </c>
      <c r="R62" s="26">
        <f t="shared" si="5"/>
        <v>0.2752131883596643</v>
      </c>
      <c r="S62" s="22" t="str">
        <f t="shared" si="6"/>
        <v>Regular</v>
      </c>
      <c r="T62" s="27" t="str">
        <f t="shared" si="7"/>
        <v>Medium</v>
      </c>
    </row>
    <row r="63" spans="1:20" ht="14.25" customHeight="1" x14ac:dyDescent="0.3">
      <c r="A63" s="21" t="s">
        <v>166</v>
      </c>
      <c r="B63" s="22" t="s">
        <v>144</v>
      </c>
      <c r="C63" s="22" t="str">
        <f>IFERROR(INDEX(Customers!$B$2:$B$31,MATCH(B63,Customers!$A$2:$A$31,0)),"Unknown")</f>
        <v>Navya Sharma</v>
      </c>
      <c r="D63" s="22" t="str">
        <f>IFERROR(INDEX(Customers!$D$2:$D$31,MATCH(B63,Customers!$A$2:$A$31,0)),"Unknown")</f>
        <v>South</v>
      </c>
      <c r="E63" s="22" t="s">
        <v>163</v>
      </c>
      <c r="F63" s="22" t="str">
        <f>IFERROR(INDEX(Products!$B$2:$B$31,MATCH(E63,Products!$A$2:$A$31,0)),"Unknown")</f>
        <v>Formal Shirt</v>
      </c>
      <c r="G63" s="22" t="str">
        <f>IFERROR(INDEX(Products!$C$2:$C$31,MATCH(E63,Products!$A$2:$A$31,0)),"Unknown")</f>
        <v>Apparel</v>
      </c>
      <c r="H63" s="23">
        <v>45380</v>
      </c>
      <c r="I63" s="22">
        <f t="shared" si="0"/>
        <v>3</v>
      </c>
      <c r="J63" s="22" t="str">
        <f t="shared" si="1"/>
        <v>Mar</v>
      </c>
      <c r="K63" s="22" t="str">
        <f t="shared" si="2"/>
        <v>Q1</v>
      </c>
      <c r="L63" s="22">
        <v>2</v>
      </c>
      <c r="M63" s="24">
        <v>1824.19</v>
      </c>
      <c r="N63" s="25">
        <v>0.05</v>
      </c>
      <c r="O63" s="24">
        <f>IFERROR(INDEX(Products!$D$2:$D$31,MATCH(E63,Products!$A$2:$A$31,0)),0)</f>
        <v>1494.7</v>
      </c>
      <c r="P63" s="24">
        <f t="shared" si="3"/>
        <v>3465.96</v>
      </c>
      <c r="Q63" s="24">
        <f t="shared" si="4"/>
        <v>476.56</v>
      </c>
      <c r="R63" s="26">
        <f t="shared" si="5"/>
        <v>0.13749725905665386</v>
      </c>
      <c r="S63" s="22" t="str">
        <f t="shared" si="6"/>
        <v>Regular</v>
      </c>
      <c r="T63" s="27" t="str">
        <f t="shared" si="7"/>
        <v>Low</v>
      </c>
    </row>
    <row r="64" spans="1:20" ht="14.25" customHeight="1" x14ac:dyDescent="0.3">
      <c r="A64" s="21" t="s">
        <v>167</v>
      </c>
      <c r="B64" s="22" t="s">
        <v>168</v>
      </c>
      <c r="C64" s="22" t="str">
        <f>IFERROR(INDEX(Customers!$B$2:$B$31,MATCH(B64,Customers!$A$2:$A$31,0)),"Unknown")</f>
        <v>Neha Reddy</v>
      </c>
      <c r="D64" s="22" t="str">
        <f>IFERROR(INDEX(Customers!$D$2:$D$31,MATCH(B64,Customers!$A$2:$A$31,0)),"Unknown")</f>
        <v>North</v>
      </c>
      <c r="E64" s="22" t="s">
        <v>99</v>
      </c>
      <c r="F64" s="22" t="str">
        <f>IFERROR(INDEX(Products!$B$2:$B$31,MATCH(E64,Products!$A$2:$A$31,0)),"Unknown")</f>
        <v>Moisturizer</v>
      </c>
      <c r="G64" s="22" t="str">
        <f>IFERROR(INDEX(Products!$C$2:$C$31,MATCH(E64,Products!$A$2:$A$31,0)),"Unknown")</f>
        <v>Beauty</v>
      </c>
      <c r="H64" s="23">
        <v>45381</v>
      </c>
      <c r="I64" s="22">
        <f t="shared" si="0"/>
        <v>3</v>
      </c>
      <c r="J64" s="22" t="str">
        <f t="shared" si="1"/>
        <v>Mar</v>
      </c>
      <c r="K64" s="22" t="str">
        <f t="shared" si="2"/>
        <v>Q1</v>
      </c>
      <c r="L64" s="22">
        <v>5</v>
      </c>
      <c r="M64" s="24">
        <v>3319.32</v>
      </c>
      <c r="N64" s="25">
        <v>0.2</v>
      </c>
      <c r="O64" s="24">
        <f>IFERROR(INDEX(Products!$D$2:$D$31,MATCH(E64,Products!$A$2:$A$31,0)),0)</f>
        <v>2490.61</v>
      </c>
      <c r="P64" s="24">
        <f t="shared" si="3"/>
        <v>13277.28</v>
      </c>
      <c r="Q64" s="24">
        <f t="shared" si="4"/>
        <v>824.23</v>
      </c>
      <c r="R64" s="26">
        <f t="shared" si="5"/>
        <v>6.2078226865743581E-2</v>
      </c>
      <c r="S64" s="22" t="str">
        <f t="shared" si="6"/>
        <v>Bulk</v>
      </c>
      <c r="T64" s="27" t="str">
        <f t="shared" si="7"/>
        <v>Low</v>
      </c>
    </row>
    <row r="65" spans="1:20" ht="14.25" customHeight="1" x14ac:dyDescent="0.3">
      <c r="A65" s="21" t="s">
        <v>169</v>
      </c>
      <c r="B65" s="22" t="s">
        <v>93</v>
      </c>
      <c r="C65" s="22" t="str">
        <f>IFERROR(INDEX(Customers!$B$2:$B$31,MATCH(B65,Customers!$A$2:$A$31,0)),"Unknown")</f>
        <v>Karan Kapoor</v>
      </c>
      <c r="D65" s="22" t="str">
        <f>IFERROR(INDEX(Customers!$D$2:$D$31,MATCH(B65,Customers!$A$2:$A$31,0)),"Unknown")</f>
        <v>South</v>
      </c>
      <c r="E65" s="22" t="s">
        <v>82</v>
      </c>
      <c r="F65" s="22" t="str">
        <f>IFERROR(INDEX(Products!$B$2:$B$31,MATCH(E65,Products!$A$2:$A$31,0)),"Unknown")</f>
        <v>Hoodie</v>
      </c>
      <c r="G65" s="22" t="str">
        <f>IFERROR(INDEX(Products!$C$2:$C$31,MATCH(E65,Products!$A$2:$A$31,0)),"Unknown")</f>
        <v>Apparel</v>
      </c>
      <c r="H65" s="23">
        <v>45383</v>
      </c>
      <c r="I65" s="22">
        <f t="shared" si="0"/>
        <v>4</v>
      </c>
      <c r="J65" s="22" t="str">
        <f t="shared" si="1"/>
        <v>Apr</v>
      </c>
      <c r="K65" s="22" t="str">
        <f t="shared" si="2"/>
        <v>Q2</v>
      </c>
      <c r="L65" s="22">
        <v>5</v>
      </c>
      <c r="M65" s="24">
        <v>2629.42</v>
      </c>
      <c r="N65" s="25">
        <v>0.1</v>
      </c>
      <c r="O65" s="24">
        <f>IFERROR(INDEX(Products!$D$2:$D$31,MATCH(E65,Products!$A$2:$A$31,0)),0)</f>
        <v>2252.73</v>
      </c>
      <c r="P65" s="24">
        <f t="shared" si="3"/>
        <v>11832.39</v>
      </c>
      <c r="Q65" s="24">
        <f t="shared" si="4"/>
        <v>568.74</v>
      </c>
      <c r="R65" s="26">
        <f t="shared" si="5"/>
        <v>4.8066366980804388E-2</v>
      </c>
      <c r="S65" s="22" t="str">
        <f t="shared" si="6"/>
        <v>Bulk</v>
      </c>
      <c r="T65" s="27" t="str">
        <f t="shared" si="7"/>
        <v>Low</v>
      </c>
    </row>
    <row r="66" spans="1:20" ht="14.25" customHeight="1" x14ac:dyDescent="0.3">
      <c r="A66" s="21" t="s">
        <v>170</v>
      </c>
      <c r="B66" s="22" t="s">
        <v>101</v>
      </c>
      <c r="C66" s="22" t="str">
        <f>IFERROR(INDEX(Customers!$B$2:$B$31,MATCH(B66,Customers!$A$2:$A$31,0)),"Unknown")</f>
        <v>Ayaan Verma</v>
      </c>
      <c r="D66" s="22" t="str">
        <f>IFERROR(INDEX(Customers!$D$2:$D$31,MATCH(B66,Customers!$A$2:$A$31,0)),"Unknown")</f>
        <v>East</v>
      </c>
      <c r="E66" s="22" t="s">
        <v>69</v>
      </c>
      <c r="F66" s="22" t="str">
        <f>IFERROR(INDEX(Products!$B$2:$B$31,MATCH(E66,Products!$A$2:$A$31,0)),"Unknown")</f>
        <v>Non-Stick Pan</v>
      </c>
      <c r="G66" s="22" t="str">
        <f>IFERROR(INDEX(Products!$C$2:$C$31,MATCH(E66,Products!$A$2:$A$31,0)),"Unknown")</f>
        <v>Home &amp; Kitchen</v>
      </c>
      <c r="H66" s="23">
        <v>45385</v>
      </c>
      <c r="I66" s="22">
        <f t="shared" si="0"/>
        <v>4</v>
      </c>
      <c r="J66" s="22" t="str">
        <f t="shared" si="1"/>
        <v>Apr</v>
      </c>
      <c r="K66" s="22" t="str">
        <f t="shared" si="2"/>
        <v>Q2</v>
      </c>
      <c r="L66" s="22">
        <v>8</v>
      </c>
      <c r="M66" s="24">
        <v>760.67</v>
      </c>
      <c r="N66" s="25">
        <v>0.2</v>
      </c>
      <c r="O66" s="24">
        <f>IFERROR(INDEX(Products!$D$2:$D$31,MATCH(E66,Products!$A$2:$A$31,0)),0)</f>
        <v>610.76</v>
      </c>
      <c r="P66" s="24">
        <f t="shared" si="3"/>
        <v>4868.29</v>
      </c>
      <c r="Q66" s="24">
        <f t="shared" si="4"/>
        <v>-17.79</v>
      </c>
      <c r="R66" s="26">
        <f t="shared" si="5"/>
        <v>-3.6542605309051019E-3</v>
      </c>
      <c r="S66" s="22" t="str">
        <f t="shared" si="6"/>
        <v>Bulk</v>
      </c>
      <c r="T66" s="27" t="str">
        <f t="shared" si="7"/>
        <v>Low</v>
      </c>
    </row>
    <row r="67" spans="1:20" ht="14.25" customHeight="1" x14ac:dyDescent="0.3">
      <c r="A67" s="21" t="s">
        <v>171</v>
      </c>
      <c r="B67" s="22" t="s">
        <v>129</v>
      </c>
      <c r="C67" s="22" t="str">
        <f>IFERROR(INDEX(Customers!$B$2:$B$31,MATCH(B67,Customers!$A$2:$A$31,0)),"Unknown")</f>
        <v>Sana Chatterjee</v>
      </c>
      <c r="D67" s="22" t="str">
        <f>IFERROR(INDEX(Customers!$D$2:$D$31,MATCH(B67,Customers!$A$2:$A$31,0)),"Unknown")</f>
        <v>North</v>
      </c>
      <c r="E67" s="22" t="s">
        <v>172</v>
      </c>
      <c r="F67" s="22" t="str">
        <f>IFERROR(INDEX(Products!$B$2:$B$31,MATCH(E67,Products!$A$2:$A$31,0)),"Unknown")</f>
        <v>Football</v>
      </c>
      <c r="G67" s="22" t="str">
        <f>IFERROR(INDEX(Products!$C$2:$C$31,MATCH(E67,Products!$A$2:$A$31,0)),"Unknown")</f>
        <v>Sports</v>
      </c>
      <c r="H67" s="23">
        <v>45387</v>
      </c>
      <c r="I67" s="22">
        <f t="shared" ref="I67:I130" si="8">IF(H67="","",MONTH(H67))</f>
        <v>4</v>
      </c>
      <c r="J67" s="22" t="str">
        <f t="shared" ref="J67:J130" si="9">IF(H67="","",TEXT(H67,"mmm"))</f>
        <v>Apr</v>
      </c>
      <c r="K67" s="22" t="str">
        <f t="shared" ref="K67:K130" si="10">IF(H67="","","Q"&amp;ROUNDUP(MONTH(H67)/3,0))</f>
        <v>Q2</v>
      </c>
      <c r="L67" s="22">
        <v>2</v>
      </c>
      <c r="M67" s="24">
        <v>2452.37</v>
      </c>
      <c r="N67" s="25">
        <v>0</v>
      </c>
      <c r="O67" s="24">
        <f>IFERROR(INDEX(Products!$D$2:$D$31,MATCH(E67,Products!$A$2:$A$31,0)),0)</f>
        <v>1729.74</v>
      </c>
      <c r="P67" s="24">
        <f t="shared" ref="P67:P130" si="11">ROUND(L67*M67*(1-N67),2)</f>
        <v>4904.74</v>
      </c>
      <c r="Q67" s="24">
        <f t="shared" ref="Q67:Q130" si="12">ROUND(P67-L67*O67,2)</f>
        <v>1445.26</v>
      </c>
      <c r="R67" s="26">
        <f t="shared" ref="R67:R130" si="13">IFERROR(Q67/P67,0)</f>
        <v>0.29466597617814605</v>
      </c>
      <c r="S67" s="22" t="str">
        <f t="shared" ref="S67:S130" si="14">IF(L67&gt;=5,"Bulk","Regular")</f>
        <v>Regular</v>
      </c>
      <c r="T67" s="27" t="str">
        <f t="shared" ref="T67:T130" si="15">IF(R67&gt;=0.3,"High",IF(R67&gt;=0.15,"Medium","Low"))</f>
        <v>Medium</v>
      </c>
    </row>
    <row r="68" spans="1:20" ht="14.25" customHeight="1" x14ac:dyDescent="0.3">
      <c r="A68" s="21" t="s">
        <v>173</v>
      </c>
      <c r="B68" s="22" t="s">
        <v>161</v>
      </c>
      <c r="C68" s="22" t="str">
        <f>IFERROR(INDEX(Customers!$B$2:$B$31,MATCH(B68,Customers!$A$2:$A$31,0)),"Unknown")</f>
        <v>Zara Reddy</v>
      </c>
      <c r="D68" s="22" t="str">
        <f>IFERROR(INDEX(Customers!$D$2:$D$31,MATCH(B68,Customers!$A$2:$A$31,0)),"Unknown")</f>
        <v>Central</v>
      </c>
      <c r="E68" s="22" t="s">
        <v>105</v>
      </c>
      <c r="F68" s="22" t="str">
        <f>IFERROR(INDEX(Products!$B$2:$B$31,MATCH(E68,Products!$A$2:$A$31,0)),"Unknown")</f>
        <v>LED Table Lamp</v>
      </c>
      <c r="G68" s="22" t="str">
        <f>IFERROR(INDEX(Products!$C$2:$C$31,MATCH(E68,Products!$A$2:$A$31,0)),"Unknown")</f>
        <v>Home &amp; Kitchen</v>
      </c>
      <c r="H68" s="23">
        <v>45389</v>
      </c>
      <c r="I68" s="22">
        <f t="shared" si="8"/>
        <v>4</v>
      </c>
      <c r="J68" s="22" t="str">
        <f t="shared" si="9"/>
        <v>Apr</v>
      </c>
      <c r="K68" s="22" t="str">
        <f t="shared" si="10"/>
        <v>Q2</v>
      </c>
      <c r="L68" s="22">
        <v>2</v>
      </c>
      <c r="M68" s="24">
        <v>358.09</v>
      </c>
      <c r="N68" s="25">
        <v>0.05</v>
      </c>
      <c r="O68" s="24">
        <f>IFERROR(INDEX(Products!$D$2:$D$31,MATCH(E68,Products!$A$2:$A$31,0)),0)</f>
        <v>300</v>
      </c>
      <c r="P68" s="24">
        <f t="shared" si="11"/>
        <v>680.37</v>
      </c>
      <c r="Q68" s="24">
        <f t="shared" si="12"/>
        <v>80.37</v>
      </c>
      <c r="R68" s="26">
        <f t="shared" si="13"/>
        <v>0.11812690153886857</v>
      </c>
      <c r="S68" s="22" t="str">
        <f t="shared" si="14"/>
        <v>Regular</v>
      </c>
      <c r="T68" s="27" t="str">
        <f t="shared" si="15"/>
        <v>Low</v>
      </c>
    </row>
    <row r="69" spans="1:20" ht="14.25" customHeight="1" x14ac:dyDescent="0.3">
      <c r="A69" s="21" t="s">
        <v>174</v>
      </c>
      <c r="B69" s="22" t="s">
        <v>158</v>
      </c>
      <c r="C69" s="22" t="str">
        <f>IFERROR(INDEX(Customers!$B$2:$B$31,MATCH(B69,Customers!$A$2:$A$31,0)),"Unknown")</f>
        <v>Kiara Khan</v>
      </c>
      <c r="D69" s="22" t="str">
        <f>IFERROR(INDEX(Customers!$D$2:$D$31,MATCH(B69,Customers!$A$2:$A$31,0)),"Unknown")</f>
        <v>Central</v>
      </c>
      <c r="E69" s="22" t="s">
        <v>60</v>
      </c>
      <c r="F69" s="22" t="str">
        <f>IFERROR(INDEX(Products!$B$2:$B$31,MATCH(E69,Products!$A$2:$A$31,0)),"Unknown")</f>
        <v>Self-Help Book</v>
      </c>
      <c r="G69" s="22" t="str">
        <f>IFERROR(INDEX(Products!$C$2:$C$31,MATCH(E69,Products!$A$2:$A$31,0)),"Unknown")</f>
        <v>Books</v>
      </c>
      <c r="H69" s="23">
        <v>45391</v>
      </c>
      <c r="I69" s="22">
        <f t="shared" si="8"/>
        <v>4</v>
      </c>
      <c r="J69" s="22" t="str">
        <f t="shared" si="9"/>
        <v>Apr</v>
      </c>
      <c r="K69" s="22" t="str">
        <f t="shared" si="10"/>
        <v>Q2</v>
      </c>
      <c r="L69" s="22">
        <v>6</v>
      </c>
      <c r="M69" s="24">
        <v>2090.73</v>
      </c>
      <c r="N69" s="25">
        <v>0.2</v>
      </c>
      <c r="O69" s="24">
        <f>IFERROR(INDEX(Products!$D$2:$D$31,MATCH(E69,Products!$A$2:$A$31,0)),0)</f>
        <v>1598.42</v>
      </c>
      <c r="P69" s="24">
        <f t="shared" si="11"/>
        <v>10035.5</v>
      </c>
      <c r="Q69" s="24">
        <f t="shared" si="12"/>
        <v>444.98</v>
      </c>
      <c r="R69" s="26">
        <f t="shared" si="13"/>
        <v>4.4340590902296848E-2</v>
      </c>
      <c r="S69" s="22" t="str">
        <f t="shared" si="14"/>
        <v>Bulk</v>
      </c>
      <c r="T69" s="27" t="str">
        <f t="shared" si="15"/>
        <v>Low</v>
      </c>
    </row>
    <row r="70" spans="1:20" ht="14.25" customHeight="1" x14ac:dyDescent="0.3">
      <c r="A70" s="21" t="s">
        <v>175</v>
      </c>
      <c r="B70" s="22" t="s">
        <v>110</v>
      </c>
      <c r="C70" s="22" t="str">
        <f>IFERROR(INDEX(Customers!$B$2:$B$31,MATCH(B70,Customers!$A$2:$A$31,0)),"Unknown")</f>
        <v>Kiara Iyer</v>
      </c>
      <c r="D70" s="22" t="str">
        <f>IFERROR(INDEX(Customers!$D$2:$D$31,MATCH(B70,Customers!$A$2:$A$31,0)),"Unknown")</f>
        <v>Central</v>
      </c>
      <c r="E70" s="22" t="s">
        <v>131</v>
      </c>
      <c r="F70" s="22" t="str">
        <f>IFERROR(INDEX(Products!$B$2:$B$31,MATCH(E70,Products!$A$2:$A$31,0)),"Unknown")</f>
        <v>Sunscreen</v>
      </c>
      <c r="G70" s="22" t="str">
        <f>IFERROR(INDEX(Products!$C$2:$C$31,MATCH(E70,Products!$A$2:$A$31,0)),"Unknown")</f>
        <v>Beauty</v>
      </c>
      <c r="H70" s="23">
        <v>45398</v>
      </c>
      <c r="I70" s="22">
        <f t="shared" si="8"/>
        <v>4</v>
      </c>
      <c r="J70" s="22" t="str">
        <f t="shared" si="9"/>
        <v>Apr</v>
      </c>
      <c r="K70" s="22" t="str">
        <f t="shared" si="10"/>
        <v>Q2</v>
      </c>
      <c r="L70" s="22">
        <v>4</v>
      </c>
      <c r="M70" s="24">
        <v>2745.16</v>
      </c>
      <c r="N70" s="25">
        <v>0</v>
      </c>
      <c r="O70" s="24">
        <f>IFERROR(INDEX(Products!$D$2:$D$31,MATCH(E70,Products!$A$2:$A$31,0)),0)</f>
        <v>2163.09</v>
      </c>
      <c r="P70" s="24">
        <f t="shared" si="11"/>
        <v>10980.64</v>
      </c>
      <c r="Q70" s="24">
        <f t="shared" si="12"/>
        <v>2328.2800000000002</v>
      </c>
      <c r="R70" s="26">
        <f t="shared" si="13"/>
        <v>0.21203499978143353</v>
      </c>
      <c r="S70" s="22" t="str">
        <f t="shared" si="14"/>
        <v>Regular</v>
      </c>
      <c r="T70" s="27" t="str">
        <f t="shared" si="15"/>
        <v>Medium</v>
      </c>
    </row>
    <row r="71" spans="1:20" ht="14.25" customHeight="1" x14ac:dyDescent="0.3">
      <c r="A71" s="21" t="s">
        <v>176</v>
      </c>
      <c r="B71" s="22" t="s">
        <v>129</v>
      </c>
      <c r="C71" s="22" t="str">
        <f>IFERROR(INDEX(Customers!$B$2:$B$31,MATCH(B71,Customers!$A$2:$A$31,0)),"Unknown")</f>
        <v>Sana Chatterjee</v>
      </c>
      <c r="D71" s="22" t="str">
        <f>IFERROR(INDEX(Customers!$D$2:$D$31,MATCH(B71,Customers!$A$2:$A$31,0)),"Unknown")</f>
        <v>North</v>
      </c>
      <c r="E71" s="22" t="s">
        <v>177</v>
      </c>
      <c r="F71" s="22" t="str">
        <f>IFERROR(INDEX(Products!$B$2:$B$31,MATCH(E71,Products!$A$2:$A$31,0)),"Unknown")</f>
        <v>Sports Shorts</v>
      </c>
      <c r="G71" s="22" t="str">
        <f>IFERROR(INDEX(Products!$C$2:$C$31,MATCH(E71,Products!$A$2:$A$31,0)),"Unknown")</f>
        <v>Apparel</v>
      </c>
      <c r="H71" s="23">
        <v>45405</v>
      </c>
      <c r="I71" s="22">
        <f t="shared" si="8"/>
        <v>4</v>
      </c>
      <c r="J71" s="22" t="str">
        <f t="shared" si="9"/>
        <v>Apr</v>
      </c>
      <c r="K71" s="22" t="str">
        <f t="shared" si="10"/>
        <v>Q2</v>
      </c>
      <c r="L71" s="22">
        <v>7</v>
      </c>
      <c r="M71" s="24">
        <v>1529.33</v>
      </c>
      <c r="N71" s="25">
        <v>0</v>
      </c>
      <c r="O71" s="24">
        <f>IFERROR(INDEX(Products!$D$2:$D$31,MATCH(E71,Products!$A$2:$A$31,0)),0)</f>
        <v>1046.55</v>
      </c>
      <c r="P71" s="24">
        <f t="shared" si="11"/>
        <v>10705.31</v>
      </c>
      <c r="Q71" s="24">
        <f t="shared" si="12"/>
        <v>3379.46</v>
      </c>
      <c r="R71" s="26">
        <f t="shared" si="13"/>
        <v>0.31568072293095673</v>
      </c>
      <c r="S71" s="22" t="str">
        <f t="shared" si="14"/>
        <v>Bulk</v>
      </c>
      <c r="T71" s="27" t="str">
        <f t="shared" si="15"/>
        <v>High</v>
      </c>
    </row>
    <row r="72" spans="1:20" ht="14.25" customHeight="1" x14ac:dyDescent="0.3">
      <c r="A72" s="21" t="s">
        <v>178</v>
      </c>
      <c r="B72" s="22" t="s">
        <v>101</v>
      </c>
      <c r="C72" s="22" t="str">
        <f>IFERROR(INDEX(Customers!$B$2:$B$31,MATCH(B72,Customers!$A$2:$A$31,0)),"Unknown")</f>
        <v>Ayaan Verma</v>
      </c>
      <c r="D72" s="22" t="str">
        <f>IFERROR(INDEX(Customers!$D$2:$D$31,MATCH(B72,Customers!$A$2:$A$31,0)),"Unknown")</f>
        <v>East</v>
      </c>
      <c r="E72" s="22" t="s">
        <v>163</v>
      </c>
      <c r="F72" s="22" t="str">
        <f>IFERROR(INDEX(Products!$B$2:$B$31,MATCH(E72,Products!$A$2:$A$31,0)),"Unknown")</f>
        <v>Formal Shirt</v>
      </c>
      <c r="G72" s="22" t="str">
        <f>IFERROR(INDEX(Products!$C$2:$C$31,MATCH(E72,Products!$A$2:$A$31,0)),"Unknown")</f>
        <v>Apparel</v>
      </c>
      <c r="H72" s="23">
        <v>45406</v>
      </c>
      <c r="I72" s="22">
        <f t="shared" si="8"/>
        <v>4</v>
      </c>
      <c r="J72" s="22" t="str">
        <f t="shared" si="9"/>
        <v>Apr</v>
      </c>
      <c r="K72" s="22" t="str">
        <f t="shared" si="10"/>
        <v>Q2</v>
      </c>
      <c r="L72" s="22">
        <v>1</v>
      </c>
      <c r="M72" s="24">
        <v>2162.85</v>
      </c>
      <c r="N72" s="25">
        <v>0.05</v>
      </c>
      <c r="O72" s="24">
        <f>IFERROR(INDEX(Products!$D$2:$D$31,MATCH(E72,Products!$A$2:$A$31,0)),0)</f>
        <v>1494.7</v>
      </c>
      <c r="P72" s="24">
        <f t="shared" si="11"/>
        <v>2054.71</v>
      </c>
      <c r="Q72" s="24">
        <f t="shared" si="12"/>
        <v>560.01</v>
      </c>
      <c r="R72" s="26">
        <f t="shared" si="13"/>
        <v>0.27254941086576695</v>
      </c>
      <c r="S72" s="22" t="str">
        <f t="shared" si="14"/>
        <v>Regular</v>
      </c>
      <c r="T72" s="27" t="str">
        <f t="shared" si="15"/>
        <v>Medium</v>
      </c>
    </row>
    <row r="73" spans="1:20" ht="14.25" customHeight="1" x14ac:dyDescent="0.3">
      <c r="A73" s="21" t="s">
        <v>179</v>
      </c>
      <c r="B73" s="22" t="s">
        <v>110</v>
      </c>
      <c r="C73" s="22" t="str">
        <f>IFERROR(INDEX(Customers!$B$2:$B$31,MATCH(B73,Customers!$A$2:$A$31,0)),"Unknown")</f>
        <v>Kiara Iyer</v>
      </c>
      <c r="D73" s="22" t="str">
        <f>IFERROR(INDEX(Customers!$D$2:$D$31,MATCH(B73,Customers!$A$2:$A$31,0)),"Unknown")</f>
        <v>Central</v>
      </c>
      <c r="E73" s="22" t="s">
        <v>163</v>
      </c>
      <c r="F73" s="22" t="str">
        <f>IFERROR(INDEX(Products!$B$2:$B$31,MATCH(E73,Products!$A$2:$A$31,0)),"Unknown")</f>
        <v>Formal Shirt</v>
      </c>
      <c r="G73" s="22" t="str">
        <f>IFERROR(INDEX(Products!$C$2:$C$31,MATCH(E73,Products!$A$2:$A$31,0)),"Unknown")</f>
        <v>Apparel</v>
      </c>
      <c r="H73" s="23">
        <v>45407</v>
      </c>
      <c r="I73" s="22">
        <f t="shared" si="8"/>
        <v>4</v>
      </c>
      <c r="J73" s="22" t="str">
        <f t="shared" si="9"/>
        <v>Apr</v>
      </c>
      <c r="K73" s="22" t="str">
        <f t="shared" si="10"/>
        <v>Q2</v>
      </c>
      <c r="L73" s="22">
        <v>2</v>
      </c>
      <c r="M73" s="24">
        <v>1946.31</v>
      </c>
      <c r="N73" s="25">
        <v>0.1</v>
      </c>
      <c r="O73" s="24">
        <f>IFERROR(INDEX(Products!$D$2:$D$31,MATCH(E73,Products!$A$2:$A$31,0)),0)</f>
        <v>1494.7</v>
      </c>
      <c r="P73" s="24">
        <f t="shared" si="11"/>
        <v>3503.36</v>
      </c>
      <c r="Q73" s="24">
        <f t="shared" si="12"/>
        <v>513.96</v>
      </c>
      <c r="R73" s="26">
        <f t="shared" si="13"/>
        <v>0.14670487760321521</v>
      </c>
      <c r="S73" s="22" t="str">
        <f t="shared" si="14"/>
        <v>Regular</v>
      </c>
      <c r="T73" s="27" t="str">
        <f t="shared" si="15"/>
        <v>Low</v>
      </c>
    </row>
    <row r="74" spans="1:20" ht="14.25" customHeight="1" x14ac:dyDescent="0.3">
      <c r="A74" s="21" t="s">
        <v>180</v>
      </c>
      <c r="B74" s="22" t="s">
        <v>84</v>
      </c>
      <c r="C74" s="22" t="str">
        <f>IFERROR(INDEX(Customers!$B$2:$B$31,MATCH(B74,Customers!$A$2:$A$31,0)),"Unknown")</f>
        <v>Aditya Khan</v>
      </c>
      <c r="D74" s="22" t="str">
        <f>IFERROR(INDEX(Customers!$D$2:$D$31,MATCH(B74,Customers!$A$2:$A$31,0)),"Unknown")</f>
        <v>North</v>
      </c>
      <c r="E74" s="22" t="s">
        <v>131</v>
      </c>
      <c r="F74" s="22" t="str">
        <f>IFERROR(INDEX(Products!$B$2:$B$31,MATCH(E74,Products!$A$2:$A$31,0)),"Unknown")</f>
        <v>Sunscreen</v>
      </c>
      <c r="G74" s="22" t="str">
        <f>IFERROR(INDEX(Products!$C$2:$C$31,MATCH(E74,Products!$A$2:$A$31,0)),"Unknown")</f>
        <v>Beauty</v>
      </c>
      <c r="H74" s="23">
        <v>45407</v>
      </c>
      <c r="I74" s="22">
        <f t="shared" si="8"/>
        <v>4</v>
      </c>
      <c r="J74" s="22" t="str">
        <f t="shared" si="9"/>
        <v>Apr</v>
      </c>
      <c r="K74" s="22" t="str">
        <f t="shared" si="10"/>
        <v>Q2</v>
      </c>
      <c r="L74" s="22">
        <v>7</v>
      </c>
      <c r="M74" s="24">
        <v>3429.08</v>
      </c>
      <c r="N74" s="25">
        <v>0.2</v>
      </c>
      <c r="O74" s="24">
        <f>IFERROR(INDEX(Products!$D$2:$D$31,MATCH(E74,Products!$A$2:$A$31,0)),0)</f>
        <v>2163.09</v>
      </c>
      <c r="P74" s="24">
        <f t="shared" si="11"/>
        <v>19202.849999999999</v>
      </c>
      <c r="Q74" s="24">
        <f t="shared" si="12"/>
        <v>4061.22</v>
      </c>
      <c r="R74" s="26">
        <f t="shared" si="13"/>
        <v>0.21149048188159569</v>
      </c>
      <c r="S74" s="22" t="str">
        <f t="shared" si="14"/>
        <v>Bulk</v>
      </c>
      <c r="T74" s="27" t="str">
        <f t="shared" si="15"/>
        <v>Medium</v>
      </c>
    </row>
    <row r="75" spans="1:20" ht="14.25" customHeight="1" x14ac:dyDescent="0.3">
      <c r="A75" s="21" t="s">
        <v>181</v>
      </c>
      <c r="B75" s="22" t="s">
        <v>71</v>
      </c>
      <c r="C75" s="22" t="str">
        <f>IFERROR(INDEX(Customers!$B$2:$B$31,MATCH(B75,Customers!$A$2:$A$31,0)),"Unknown")</f>
        <v>Imran Mehta</v>
      </c>
      <c r="D75" s="22" t="str">
        <f>IFERROR(INDEX(Customers!$D$2:$D$31,MATCH(B75,Customers!$A$2:$A$31,0)),"Unknown")</f>
        <v>Central</v>
      </c>
      <c r="E75" s="22" t="s">
        <v>177</v>
      </c>
      <c r="F75" s="22" t="str">
        <f>IFERROR(INDEX(Products!$B$2:$B$31,MATCH(E75,Products!$A$2:$A$31,0)),"Unknown")</f>
        <v>Sports Shorts</v>
      </c>
      <c r="G75" s="22" t="str">
        <f>IFERROR(INDEX(Products!$C$2:$C$31,MATCH(E75,Products!$A$2:$A$31,0)),"Unknown")</f>
        <v>Apparel</v>
      </c>
      <c r="H75" s="23">
        <v>45408</v>
      </c>
      <c r="I75" s="22">
        <f t="shared" si="8"/>
        <v>4</v>
      </c>
      <c r="J75" s="22" t="str">
        <f t="shared" si="9"/>
        <v>Apr</v>
      </c>
      <c r="K75" s="22" t="str">
        <f t="shared" si="10"/>
        <v>Q2</v>
      </c>
      <c r="L75" s="22">
        <v>6</v>
      </c>
      <c r="M75" s="24">
        <v>1288.04</v>
      </c>
      <c r="N75" s="25">
        <v>0</v>
      </c>
      <c r="O75" s="24">
        <f>IFERROR(INDEX(Products!$D$2:$D$31,MATCH(E75,Products!$A$2:$A$31,0)),0)</f>
        <v>1046.55</v>
      </c>
      <c r="P75" s="24">
        <f t="shared" si="11"/>
        <v>7728.24</v>
      </c>
      <c r="Q75" s="24">
        <f t="shared" si="12"/>
        <v>1448.94</v>
      </c>
      <c r="R75" s="26">
        <f t="shared" si="13"/>
        <v>0.18748641346542033</v>
      </c>
      <c r="S75" s="22" t="str">
        <f t="shared" si="14"/>
        <v>Bulk</v>
      </c>
      <c r="T75" s="27" t="str">
        <f t="shared" si="15"/>
        <v>Medium</v>
      </c>
    </row>
    <row r="76" spans="1:20" ht="14.25" customHeight="1" x14ac:dyDescent="0.3">
      <c r="A76" s="21" t="s">
        <v>182</v>
      </c>
      <c r="B76" s="22" t="s">
        <v>59</v>
      </c>
      <c r="C76" s="22" t="str">
        <f>IFERROR(INDEX(Customers!$B$2:$B$31,MATCH(B76,Customers!$A$2:$A$31,0)),"Unknown")</f>
        <v>Diya Reddy</v>
      </c>
      <c r="D76" s="22" t="str">
        <f>IFERROR(INDEX(Customers!$D$2:$D$31,MATCH(B76,Customers!$A$2:$A$31,0)),"Unknown")</f>
        <v>East</v>
      </c>
      <c r="E76" s="22" t="s">
        <v>54</v>
      </c>
      <c r="F76" s="22" t="str">
        <f>IFERROR(INDEX(Products!$B$2:$B$31,MATCH(E76,Products!$A$2:$A$31,0)),"Unknown")</f>
        <v>Bluetooth Speaker</v>
      </c>
      <c r="G76" s="22" t="str">
        <f>IFERROR(INDEX(Products!$C$2:$C$31,MATCH(E76,Products!$A$2:$A$31,0)),"Unknown")</f>
        <v>Electronics</v>
      </c>
      <c r="H76" s="23">
        <v>45409</v>
      </c>
      <c r="I76" s="22">
        <f t="shared" si="8"/>
        <v>4</v>
      </c>
      <c r="J76" s="22" t="str">
        <f t="shared" si="9"/>
        <v>Apr</v>
      </c>
      <c r="K76" s="22" t="str">
        <f t="shared" si="10"/>
        <v>Q2</v>
      </c>
      <c r="L76" s="22">
        <v>2</v>
      </c>
      <c r="M76" s="24">
        <v>3571.53</v>
      </c>
      <c r="N76" s="25">
        <v>0.2</v>
      </c>
      <c r="O76" s="24">
        <f>IFERROR(INDEX(Products!$D$2:$D$31,MATCH(E76,Products!$A$2:$A$31,0)),0)</f>
        <v>2293.21</v>
      </c>
      <c r="P76" s="24">
        <f t="shared" si="11"/>
        <v>5714.45</v>
      </c>
      <c r="Q76" s="24">
        <f t="shared" si="12"/>
        <v>1128.03</v>
      </c>
      <c r="R76" s="26">
        <f t="shared" si="13"/>
        <v>0.19739957476222558</v>
      </c>
      <c r="S76" s="22" t="str">
        <f t="shared" si="14"/>
        <v>Regular</v>
      </c>
      <c r="T76" s="27" t="str">
        <f t="shared" si="15"/>
        <v>Medium</v>
      </c>
    </row>
    <row r="77" spans="1:20" ht="14.25" customHeight="1" x14ac:dyDescent="0.3">
      <c r="A77" s="21" t="s">
        <v>183</v>
      </c>
      <c r="B77" s="22" t="s">
        <v>90</v>
      </c>
      <c r="C77" s="22" t="str">
        <f>IFERROR(INDEX(Customers!$B$2:$B$31,MATCH(B77,Customers!$A$2:$A$31,0)),"Unknown")</f>
        <v>Ayaan Chatterjee</v>
      </c>
      <c r="D77" s="22" t="str">
        <f>IFERROR(INDEX(Customers!$D$2:$D$31,MATCH(B77,Customers!$A$2:$A$31,0)),"Unknown")</f>
        <v>West</v>
      </c>
      <c r="E77" s="22" t="s">
        <v>135</v>
      </c>
      <c r="F77" s="22" t="str">
        <f>IFERROR(INDEX(Products!$B$2:$B$31,MATCH(E77,Products!$A$2:$A$31,0)),"Unknown")</f>
        <v>Yoga Mat</v>
      </c>
      <c r="G77" s="22" t="str">
        <f>IFERROR(INDEX(Products!$C$2:$C$31,MATCH(E77,Products!$A$2:$A$31,0)),"Unknown")</f>
        <v>Sports</v>
      </c>
      <c r="H77" s="23">
        <v>45409</v>
      </c>
      <c r="I77" s="22">
        <f t="shared" si="8"/>
        <v>4</v>
      </c>
      <c r="J77" s="22" t="str">
        <f t="shared" si="9"/>
        <v>Apr</v>
      </c>
      <c r="K77" s="22" t="str">
        <f t="shared" si="10"/>
        <v>Q2</v>
      </c>
      <c r="L77" s="22">
        <v>6</v>
      </c>
      <c r="M77" s="24">
        <v>134.57</v>
      </c>
      <c r="N77" s="25">
        <v>0</v>
      </c>
      <c r="O77" s="24">
        <f>IFERROR(INDEX(Products!$D$2:$D$31,MATCH(E77,Products!$A$2:$A$31,0)),0)</f>
        <v>107.78</v>
      </c>
      <c r="P77" s="24">
        <f t="shared" si="11"/>
        <v>807.42</v>
      </c>
      <c r="Q77" s="24">
        <f t="shared" si="12"/>
        <v>160.74</v>
      </c>
      <c r="R77" s="26">
        <f t="shared" si="13"/>
        <v>0.19907854648138518</v>
      </c>
      <c r="S77" s="22" t="str">
        <f t="shared" si="14"/>
        <v>Bulk</v>
      </c>
      <c r="T77" s="27" t="str">
        <f t="shared" si="15"/>
        <v>Medium</v>
      </c>
    </row>
    <row r="78" spans="1:20" ht="14.25" customHeight="1" x14ac:dyDescent="0.3">
      <c r="A78" s="21" t="s">
        <v>184</v>
      </c>
      <c r="B78" s="22" t="s">
        <v>68</v>
      </c>
      <c r="C78" s="22" t="str">
        <f>IFERROR(INDEX(Customers!$B$2:$B$31,MATCH(B78,Customers!$A$2:$A$31,0)),"Unknown")</f>
        <v>Neha Khan</v>
      </c>
      <c r="D78" s="22" t="str">
        <f>IFERROR(INDEX(Customers!$D$2:$D$31,MATCH(B78,Customers!$A$2:$A$31,0)),"Unknown")</f>
        <v>East</v>
      </c>
      <c r="E78" s="22" t="s">
        <v>102</v>
      </c>
      <c r="F78" s="22" t="str">
        <f>IFERROR(INDEX(Products!$B$2:$B$31,MATCH(E78,Products!$A$2:$A$31,0)),"Unknown")</f>
        <v>Storage Jars Set</v>
      </c>
      <c r="G78" s="22" t="str">
        <f>IFERROR(INDEX(Products!$C$2:$C$31,MATCH(E78,Products!$A$2:$A$31,0)),"Unknown")</f>
        <v>Home &amp; Kitchen</v>
      </c>
      <c r="H78" s="23">
        <v>45411</v>
      </c>
      <c r="I78" s="22">
        <f t="shared" si="8"/>
        <v>4</v>
      </c>
      <c r="J78" s="22" t="str">
        <f t="shared" si="9"/>
        <v>Apr</v>
      </c>
      <c r="K78" s="22" t="str">
        <f t="shared" si="10"/>
        <v>Q2</v>
      </c>
      <c r="L78" s="22">
        <v>7</v>
      </c>
      <c r="M78" s="24">
        <v>1535.8</v>
      </c>
      <c r="N78" s="25">
        <v>0.15</v>
      </c>
      <c r="O78" s="24">
        <f>IFERROR(INDEX(Products!$D$2:$D$31,MATCH(E78,Products!$A$2:$A$31,0)),0)</f>
        <v>1313.05</v>
      </c>
      <c r="P78" s="24">
        <f t="shared" si="11"/>
        <v>9138.01</v>
      </c>
      <c r="Q78" s="24">
        <f t="shared" si="12"/>
        <v>-53.34</v>
      </c>
      <c r="R78" s="26">
        <f t="shared" si="13"/>
        <v>-5.8371571053216185E-3</v>
      </c>
      <c r="S78" s="22" t="str">
        <f t="shared" si="14"/>
        <v>Bulk</v>
      </c>
      <c r="T78" s="27" t="str">
        <f t="shared" si="15"/>
        <v>Low</v>
      </c>
    </row>
    <row r="79" spans="1:20" ht="14.25" customHeight="1" x14ac:dyDescent="0.3">
      <c r="A79" s="21" t="s">
        <v>185</v>
      </c>
      <c r="B79" s="22" t="s">
        <v>84</v>
      </c>
      <c r="C79" s="22" t="str">
        <f>IFERROR(INDEX(Customers!$B$2:$B$31,MATCH(B79,Customers!$A$2:$A$31,0)),"Unknown")</f>
        <v>Aditya Khan</v>
      </c>
      <c r="D79" s="22" t="str">
        <f>IFERROR(INDEX(Customers!$D$2:$D$31,MATCH(B79,Customers!$A$2:$A$31,0)),"Unknown")</f>
        <v>North</v>
      </c>
      <c r="E79" s="22" t="s">
        <v>94</v>
      </c>
      <c r="F79" s="22" t="str">
        <f>IFERROR(INDEX(Products!$B$2:$B$31,MATCH(E79,Products!$A$2:$A$31,0)),"Unknown")</f>
        <v>Skipping Rope</v>
      </c>
      <c r="G79" s="22" t="str">
        <f>IFERROR(INDEX(Products!$C$2:$C$31,MATCH(E79,Products!$A$2:$A$31,0)),"Unknown")</f>
        <v>Sports</v>
      </c>
      <c r="H79" s="23">
        <v>45413</v>
      </c>
      <c r="I79" s="22">
        <f t="shared" si="8"/>
        <v>5</v>
      </c>
      <c r="J79" s="22" t="str">
        <f t="shared" si="9"/>
        <v>May</v>
      </c>
      <c r="K79" s="22" t="str">
        <f t="shared" si="10"/>
        <v>Q2</v>
      </c>
      <c r="L79" s="22">
        <v>3</v>
      </c>
      <c r="M79" s="24">
        <v>1153.3800000000001</v>
      </c>
      <c r="N79" s="25">
        <v>0.2</v>
      </c>
      <c r="O79" s="24">
        <f>IFERROR(INDEX(Products!$D$2:$D$31,MATCH(E79,Products!$A$2:$A$31,0)),0)</f>
        <v>725.72</v>
      </c>
      <c r="P79" s="24">
        <f t="shared" si="11"/>
        <v>2768.11</v>
      </c>
      <c r="Q79" s="24">
        <f t="shared" si="12"/>
        <v>590.95000000000005</v>
      </c>
      <c r="R79" s="26">
        <f t="shared" si="13"/>
        <v>0.21348501324008079</v>
      </c>
      <c r="S79" s="22" t="str">
        <f t="shared" si="14"/>
        <v>Regular</v>
      </c>
      <c r="T79" s="27" t="str">
        <f t="shared" si="15"/>
        <v>Medium</v>
      </c>
    </row>
    <row r="80" spans="1:20" ht="14.25" customHeight="1" x14ac:dyDescent="0.3">
      <c r="A80" s="21" t="s">
        <v>186</v>
      </c>
      <c r="B80" s="22" t="s">
        <v>62</v>
      </c>
      <c r="C80" s="22" t="str">
        <f>IFERROR(INDEX(Customers!$B$2:$B$31,MATCH(B80,Customers!$A$2:$A$31,0)),"Unknown")</f>
        <v>Ira Singh</v>
      </c>
      <c r="D80" s="22" t="str">
        <f>IFERROR(INDEX(Customers!$D$2:$D$31,MATCH(B80,Customers!$A$2:$A$31,0)),"Unknown")</f>
        <v>West</v>
      </c>
      <c r="E80" s="22" t="s">
        <v>117</v>
      </c>
      <c r="F80" s="22" t="str">
        <f>IFERROR(INDEX(Products!$B$2:$B$31,MATCH(E80,Products!$A$2:$A$31,0)),"Unknown")</f>
        <v>Face Wash</v>
      </c>
      <c r="G80" s="22" t="str">
        <f>IFERROR(INDEX(Products!$C$2:$C$31,MATCH(E80,Products!$A$2:$A$31,0)),"Unknown")</f>
        <v>Beauty</v>
      </c>
      <c r="H80" s="23">
        <v>45414</v>
      </c>
      <c r="I80" s="22">
        <f t="shared" si="8"/>
        <v>5</v>
      </c>
      <c r="J80" s="22" t="str">
        <f t="shared" si="9"/>
        <v>May</v>
      </c>
      <c r="K80" s="22" t="str">
        <f t="shared" si="10"/>
        <v>Q2</v>
      </c>
      <c r="L80" s="22">
        <v>5</v>
      </c>
      <c r="M80" s="24">
        <v>1352.69</v>
      </c>
      <c r="N80" s="25">
        <v>0.15</v>
      </c>
      <c r="O80" s="24">
        <f>IFERROR(INDEX(Products!$D$2:$D$31,MATCH(E80,Products!$A$2:$A$31,0)),0)</f>
        <v>1003.52</v>
      </c>
      <c r="P80" s="24">
        <f t="shared" si="11"/>
        <v>5748.93</v>
      </c>
      <c r="Q80" s="24">
        <f t="shared" si="12"/>
        <v>731.33</v>
      </c>
      <c r="R80" s="26">
        <f t="shared" si="13"/>
        <v>0.12721149848754465</v>
      </c>
      <c r="S80" s="22" t="str">
        <f t="shared" si="14"/>
        <v>Bulk</v>
      </c>
      <c r="T80" s="27" t="str">
        <f t="shared" si="15"/>
        <v>Low</v>
      </c>
    </row>
    <row r="81" spans="1:20" ht="14.25" customHeight="1" x14ac:dyDescent="0.3">
      <c r="A81" s="21" t="s">
        <v>187</v>
      </c>
      <c r="B81" s="22" t="s">
        <v>112</v>
      </c>
      <c r="C81" s="22" t="str">
        <f>IFERROR(INDEX(Customers!$B$2:$B$31,MATCH(B81,Customers!$A$2:$A$31,0)),"Unknown")</f>
        <v>Ayaan Patel</v>
      </c>
      <c r="D81" s="22" t="str">
        <f>IFERROR(INDEX(Customers!$D$2:$D$31,MATCH(B81,Customers!$A$2:$A$31,0)),"Unknown")</f>
        <v>North</v>
      </c>
      <c r="E81" s="22" t="s">
        <v>135</v>
      </c>
      <c r="F81" s="22" t="str">
        <f>IFERROR(INDEX(Products!$B$2:$B$31,MATCH(E81,Products!$A$2:$A$31,0)),"Unknown")</f>
        <v>Yoga Mat</v>
      </c>
      <c r="G81" s="22" t="str">
        <f>IFERROR(INDEX(Products!$C$2:$C$31,MATCH(E81,Products!$A$2:$A$31,0)),"Unknown")</f>
        <v>Sports</v>
      </c>
      <c r="H81" s="23">
        <v>45414</v>
      </c>
      <c r="I81" s="22">
        <f t="shared" si="8"/>
        <v>5</v>
      </c>
      <c r="J81" s="22" t="str">
        <f t="shared" si="9"/>
        <v>May</v>
      </c>
      <c r="K81" s="22" t="str">
        <f t="shared" si="10"/>
        <v>Q2</v>
      </c>
      <c r="L81" s="22">
        <v>3</v>
      </c>
      <c r="M81" s="24">
        <v>139.02000000000001</v>
      </c>
      <c r="N81" s="25">
        <v>0</v>
      </c>
      <c r="O81" s="24">
        <f>IFERROR(INDEX(Products!$D$2:$D$31,MATCH(E81,Products!$A$2:$A$31,0)),0)</f>
        <v>107.78</v>
      </c>
      <c r="P81" s="24">
        <f t="shared" si="11"/>
        <v>417.06</v>
      </c>
      <c r="Q81" s="24">
        <f t="shared" si="12"/>
        <v>93.72</v>
      </c>
      <c r="R81" s="26">
        <f t="shared" si="13"/>
        <v>0.22471586822039993</v>
      </c>
      <c r="S81" s="22" t="str">
        <f t="shared" si="14"/>
        <v>Regular</v>
      </c>
      <c r="T81" s="27" t="str">
        <f t="shared" si="15"/>
        <v>Medium</v>
      </c>
    </row>
    <row r="82" spans="1:20" ht="14.25" customHeight="1" x14ac:dyDescent="0.3">
      <c r="A82" s="21" t="s">
        <v>188</v>
      </c>
      <c r="B82" s="22" t="s">
        <v>71</v>
      </c>
      <c r="C82" s="22" t="str">
        <f>IFERROR(INDEX(Customers!$B$2:$B$31,MATCH(B82,Customers!$A$2:$A$31,0)),"Unknown")</f>
        <v>Imran Mehta</v>
      </c>
      <c r="D82" s="22" t="str">
        <f>IFERROR(INDEX(Customers!$D$2:$D$31,MATCH(B82,Customers!$A$2:$A$31,0)),"Unknown")</f>
        <v>Central</v>
      </c>
      <c r="E82" s="22" t="s">
        <v>57</v>
      </c>
      <c r="F82" s="22" t="str">
        <f>IFERROR(INDEX(Products!$B$2:$B$31,MATCH(E82,Products!$A$2:$A$31,0)),"Unknown")</f>
        <v>Smartwatch</v>
      </c>
      <c r="G82" s="22" t="str">
        <f>IFERROR(INDEX(Products!$C$2:$C$31,MATCH(E82,Products!$A$2:$A$31,0)),"Unknown")</f>
        <v>Electronics</v>
      </c>
      <c r="H82" s="23">
        <v>45415</v>
      </c>
      <c r="I82" s="22">
        <f t="shared" si="8"/>
        <v>5</v>
      </c>
      <c r="J82" s="22" t="str">
        <f t="shared" si="9"/>
        <v>May</v>
      </c>
      <c r="K82" s="22" t="str">
        <f t="shared" si="10"/>
        <v>Q2</v>
      </c>
      <c r="L82" s="22">
        <v>7</v>
      </c>
      <c r="M82" s="24">
        <v>1630.71</v>
      </c>
      <c r="N82" s="25">
        <v>0.2</v>
      </c>
      <c r="O82" s="24">
        <f>IFERROR(INDEX(Products!$D$2:$D$31,MATCH(E82,Products!$A$2:$A$31,0)),0)</f>
        <v>1190.42</v>
      </c>
      <c r="P82" s="24">
        <f t="shared" si="11"/>
        <v>9131.98</v>
      </c>
      <c r="Q82" s="24">
        <f t="shared" si="12"/>
        <v>799.04</v>
      </c>
      <c r="R82" s="26">
        <f t="shared" si="13"/>
        <v>8.7499096581464264E-2</v>
      </c>
      <c r="S82" s="22" t="str">
        <f t="shared" si="14"/>
        <v>Bulk</v>
      </c>
      <c r="T82" s="27" t="str">
        <f t="shared" si="15"/>
        <v>Low</v>
      </c>
    </row>
    <row r="83" spans="1:20" ht="14.25" customHeight="1" x14ac:dyDescent="0.3">
      <c r="A83" s="21" t="s">
        <v>189</v>
      </c>
      <c r="B83" s="22" t="s">
        <v>62</v>
      </c>
      <c r="C83" s="22" t="str">
        <f>IFERROR(INDEX(Customers!$B$2:$B$31,MATCH(B83,Customers!$A$2:$A$31,0)),"Unknown")</f>
        <v>Ira Singh</v>
      </c>
      <c r="D83" s="22" t="str">
        <f>IFERROR(INDEX(Customers!$D$2:$D$31,MATCH(B83,Customers!$A$2:$A$31,0)),"Unknown")</f>
        <v>West</v>
      </c>
      <c r="E83" s="22" t="s">
        <v>102</v>
      </c>
      <c r="F83" s="22" t="str">
        <f>IFERROR(INDEX(Products!$B$2:$B$31,MATCH(E83,Products!$A$2:$A$31,0)),"Unknown")</f>
        <v>Storage Jars Set</v>
      </c>
      <c r="G83" s="22" t="str">
        <f>IFERROR(INDEX(Products!$C$2:$C$31,MATCH(E83,Products!$A$2:$A$31,0)),"Unknown")</f>
        <v>Home &amp; Kitchen</v>
      </c>
      <c r="H83" s="23">
        <v>45416</v>
      </c>
      <c r="I83" s="22">
        <f t="shared" si="8"/>
        <v>5</v>
      </c>
      <c r="J83" s="22" t="str">
        <f t="shared" si="9"/>
        <v>May</v>
      </c>
      <c r="K83" s="22" t="str">
        <f t="shared" si="10"/>
        <v>Q2</v>
      </c>
      <c r="L83" s="22">
        <v>3</v>
      </c>
      <c r="M83" s="24">
        <v>1897.65</v>
      </c>
      <c r="N83" s="25">
        <v>0</v>
      </c>
      <c r="O83" s="24">
        <f>IFERROR(INDEX(Products!$D$2:$D$31,MATCH(E83,Products!$A$2:$A$31,0)),0)</f>
        <v>1313.05</v>
      </c>
      <c r="P83" s="24">
        <f t="shared" si="11"/>
        <v>5692.95</v>
      </c>
      <c r="Q83" s="24">
        <f t="shared" si="12"/>
        <v>1753.8</v>
      </c>
      <c r="R83" s="26">
        <f t="shared" si="13"/>
        <v>0.30806523858456514</v>
      </c>
      <c r="S83" s="22" t="str">
        <f t="shared" si="14"/>
        <v>Regular</v>
      </c>
      <c r="T83" s="27" t="str">
        <f t="shared" si="15"/>
        <v>High</v>
      </c>
    </row>
    <row r="84" spans="1:20" ht="14.25" customHeight="1" x14ac:dyDescent="0.3">
      <c r="A84" s="21" t="s">
        <v>190</v>
      </c>
      <c r="B84" s="22" t="s">
        <v>65</v>
      </c>
      <c r="C84" s="22" t="str">
        <f>IFERROR(INDEX(Customers!$B$2:$B$31,MATCH(B84,Customers!$A$2:$A$31,0)),"Unknown")</f>
        <v>Sana Singh</v>
      </c>
      <c r="D84" s="22" t="str">
        <f>IFERROR(INDEX(Customers!$D$2:$D$31,MATCH(B84,Customers!$A$2:$A$31,0)),"Unknown")</f>
        <v>North</v>
      </c>
      <c r="E84" s="22" t="s">
        <v>54</v>
      </c>
      <c r="F84" s="22" t="str">
        <f>IFERROR(INDEX(Products!$B$2:$B$31,MATCH(E84,Products!$A$2:$A$31,0)),"Unknown")</f>
        <v>Bluetooth Speaker</v>
      </c>
      <c r="G84" s="22" t="str">
        <f>IFERROR(INDEX(Products!$C$2:$C$31,MATCH(E84,Products!$A$2:$A$31,0)),"Unknown")</f>
        <v>Electronics</v>
      </c>
      <c r="H84" s="23">
        <v>45417</v>
      </c>
      <c r="I84" s="22">
        <f t="shared" si="8"/>
        <v>5</v>
      </c>
      <c r="J84" s="22" t="str">
        <f t="shared" si="9"/>
        <v>May</v>
      </c>
      <c r="K84" s="22" t="str">
        <f t="shared" si="10"/>
        <v>Q2</v>
      </c>
      <c r="L84" s="22">
        <v>8</v>
      </c>
      <c r="M84" s="24">
        <v>3267.99</v>
      </c>
      <c r="N84" s="25">
        <v>0.2</v>
      </c>
      <c r="O84" s="24">
        <f>IFERROR(INDEX(Products!$D$2:$D$31,MATCH(E84,Products!$A$2:$A$31,0)),0)</f>
        <v>2293.21</v>
      </c>
      <c r="P84" s="24">
        <f t="shared" si="11"/>
        <v>20915.14</v>
      </c>
      <c r="Q84" s="24">
        <f t="shared" si="12"/>
        <v>2569.46</v>
      </c>
      <c r="R84" s="26">
        <f t="shared" si="13"/>
        <v>0.12285167586733821</v>
      </c>
      <c r="S84" s="22" t="str">
        <f t="shared" si="14"/>
        <v>Bulk</v>
      </c>
      <c r="T84" s="27" t="str">
        <f t="shared" si="15"/>
        <v>Low</v>
      </c>
    </row>
    <row r="85" spans="1:20" ht="14.25" customHeight="1" x14ac:dyDescent="0.3">
      <c r="A85" s="21" t="s">
        <v>191</v>
      </c>
      <c r="B85" s="22" t="s">
        <v>79</v>
      </c>
      <c r="C85" s="22" t="str">
        <f>IFERROR(INDEX(Customers!$B$2:$B$31,MATCH(B85,Customers!$A$2:$A$31,0)),"Unknown")</f>
        <v>Imran Iyer</v>
      </c>
      <c r="D85" s="22" t="str">
        <f>IFERROR(INDEX(Customers!$D$2:$D$31,MATCH(B85,Customers!$A$2:$A$31,0)),"Unknown")</f>
        <v>North</v>
      </c>
      <c r="E85" s="22" t="s">
        <v>57</v>
      </c>
      <c r="F85" s="22" t="str">
        <f>IFERROR(INDEX(Products!$B$2:$B$31,MATCH(E85,Products!$A$2:$A$31,0)),"Unknown")</f>
        <v>Smartwatch</v>
      </c>
      <c r="G85" s="22" t="str">
        <f>IFERROR(INDEX(Products!$C$2:$C$31,MATCH(E85,Products!$A$2:$A$31,0)),"Unknown")</f>
        <v>Electronics</v>
      </c>
      <c r="H85" s="23">
        <v>45419</v>
      </c>
      <c r="I85" s="22">
        <f t="shared" si="8"/>
        <v>5</v>
      </c>
      <c r="J85" s="22" t="str">
        <f t="shared" si="9"/>
        <v>May</v>
      </c>
      <c r="K85" s="22" t="str">
        <f t="shared" si="10"/>
        <v>Q2</v>
      </c>
      <c r="L85" s="22">
        <v>2</v>
      </c>
      <c r="M85" s="24">
        <v>1667.94</v>
      </c>
      <c r="N85" s="25">
        <v>0.05</v>
      </c>
      <c r="O85" s="24">
        <f>IFERROR(INDEX(Products!$D$2:$D$31,MATCH(E85,Products!$A$2:$A$31,0)),0)</f>
        <v>1190.42</v>
      </c>
      <c r="P85" s="24">
        <f t="shared" si="11"/>
        <v>3169.09</v>
      </c>
      <c r="Q85" s="24">
        <f t="shared" si="12"/>
        <v>788.25</v>
      </c>
      <c r="R85" s="26">
        <f t="shared" si="13"/>
        <v>0.24873070818436838</v>
      </c>
      <c r="S85" s="22" t="str">
        <f t="shared" si="14"/>
        <v>Regular</v>
      </c>
      <c r="T85" s="27" t="str">
        <f t="shared" si="15"/>
        <v>Medium</v>
      </c>
    </row>
    <row r="86" spans="1:20" ht="14.25" customHeight="1" x14ac:dyDescent="0.3">
      <c r="A86" s="21" t="s">
        <v>192</v>
      </c>
      <c r="B86" s="22" t="s">
        <v>53</v>
      </c>
      <c r="C86" s="22" t="str">
        <f>IFERROR(INDEX(Customers!$B$2:$B$31,MATCH(B86,Customers!$A$2:$A$31,0)),"Unknown")</f>
        <v>Aisha Malhotra</v>
      </c>
      <c r="D86" s="22" t="str">
        <f>IFERROR(INDEX(Customers!$D$2:$D$31,MATCH(B86,Customers!$A$2:$A$31,0)),"Unknown")</f>
        <v>Central</v>
      </c>
      <c r="E86" s="22" t="s">
        <v>177</v>
      </c>
      <c r="F86" s="22" t="str">
        <f>IFERROR(INDEX(Products!$B$2:$B$31,MATCH(E86,Products!$A$2:$A$31,0)),"Unknown")</f>
        <v>Sports Shorts</v>
      </c>
      <c r="G86" s="22" t="str">
        <f>IFERROR(INDEX(Products!$C$2:$C$31,MATCH(E86,Products!$A$2:$A$31,0)),"Unknown")</f>
        <v>Apparel</v>
      </c>
      <c r="H86" s="23">
        <v>45420</v>
      </c>
      <c r="I86" s="22">
        <f t="shared" si="8"/>
        <v>5</v>
      </c>
      <c r="J86" s="22" t="str">
        <f t="shared" si="9"/>
        <v>May</v>
      </c>
      <c r="K86" s="22" t="str">
        <f t="shared" si="10"/>
        <v>Q2</v>
      </c>
      <c r="L86" s="22">
        <v>4</v>
      </c>
      <c r="M86" s="24">
        <v>1260.3599999999999</v>
      </c>
      <c r="N86" s="25">
        <v>0</v>
      </c>
      <c r="O86" s="24">
        <f>IFERROR(INDEX(Products!$D$2:$D$31,MATCH(E86,Products!$A$2:$A$31,0)),0)</f>
        <v>1046.55</v>
      </c>
      <c r="P86" s="24">
        <f t="shared" si="11"/>
        <v>5041.4399999999996</v>
      </c>
      <c r="Q86" s="24">
        <f t="shared" si="12"/>
        <v>855.24</v>
      </c>
      <c r="R86" s="26">
        <f t="shared" si="13"/>
        <v>0.16964200704560603</v>
      </c>
      <c r="S86" s="22" t="str">
        <f t="shared" si="14"/>
        <v>Regular</v>
      </c>
      <c r="T86" s="27" t="str">
        <f t="shared" si="15"/>
        <v>Medium</v>
      </c>
    </row>
    <row r="87" spans="1:20" ht="14.25" customHeight="1" x14ac:dyDescent="0.3">
      <c r="A87" s="21" t="s">
        <v>193</v>
      </c>
      <c r="B87" s="22" t="s">
        <v>84</v>
      </c>
      <c r="C87" s="22" t="str">
        <f>IFERROR(INDEX(Customers!$B$2:$B$31,MATCH(B87,Customers!$A$2:$A$31,0)),"Unknown")</f>
        <v>Aditya Khan</v>
      </c>
      <c r="D87" s="22" t="str">
        <f>IFERROR(INDEX(Customers!$D$2:$D$31,MATCH(B87,Customers!$A$2:$A$31,0)),"Unknown")</f>
        <v>North</v>
      </c>
      <c r="E87" s="22" t="s">
        <v>141</v>
      </c>
      <c r="F87" s="22" t="str">
        <f>IFERROR(INDEX(Products!$B$2:$B$31,MATCH(E87,Products!$A$2:$A$31,0)),"Unknown")</f>
        <v>Cook Book</v>
      </c>
      <c r="G87" s="22" t="str">
        <f>IFERROR(INDEX(Products!$C$2:$C$31,MATCH(E87,Products!$A$2:$A$31,0)),"Unknown")</f>
        <v>Books</v>
      </c>
      <c r="H87" s="23">
        <v>45420</v>
      </c>
      <c r="I87" s="22">
        <f t="shared" si="8"/>
        <v>5</v>
      </c>
      <c r="J87" s="22" t="str">
        <f t="shared" si="9"/>
        <v>May</v>
      </c>
      <c r="K87" s="22" t="str">
        <f t="shared" si="10"/>
        <v>Q2</v>
      </c>
      <c r="L87" s="22">
        <v>3</v>
      </c>
      <c r="M87" s="24">
        <v>2395.13</v>
      </c>
      <c r="N87" s="25">
        <v>0.2</v>
      </c>
      <c r="O87" s="24">
        <f>IFERROR(INDEX(Products!$D$2:$D$31,MATCH(E87,Products!$A$2:$A$31,0)),0)</f>
        <v>1996.83</v>
      </c>
      <c r="P87" s="24">
        <f t="shared" si="11"/>
        <v>5748.31</v>
      </c>
      <c r="Q87" s="24">
        <f t="shared" si="12"/>
        <v>-242.18</v>
      </c>
      <c r="R87" s="26">
        <f t="shared" si="13"/>
        <v>-4.2130643615253871E-2</v>
      </c>
      <c r="S87" s="22" t="str">
        <f t="shared" si="14"/>
        <v>Regular</v>
      </c>
      <c r="T87" s="27" t="str">
        <f t="shared" si="15"/>
        <v>Low</v>
      </c>
    </row>
    <row r="88" spans="1:20" ht="14.25" customHeight="1" x14ac:dyDescent="0.3">
      <c r="A88" s="21" t="s">
        <v>194</v>
      </c>
      <c r="B88" s="22" t="s">
        <v>153</v>
      </c>
      <c r="C88" s="22" t="str">
        <f>IFERROR(INDEX(Customers!$B$2:$B$31,MATCH(B88,Customers!$A$2:$A$31,0)),"Unknown")</f>
        <v>Rohan Sharma</v>
      </c>
      <c r="D88" s="22" t="str">
        <f>IFERROR(INDEX(Customers!$D$2:$D$31,MATCH(B88,Customers!$A$2:$A$31,0)),"Unknown")</f>
        <v>North</v>
      </c>
      <c r="E88" s="22" t="s">
        <v>97</v>
      </c>
      <c r="F88" s="22" t="str">
        <f>IFERROR(INDEX(Products!$B$2:$B$31,MATCH(E88,Products!$A$2:$A$31,0)),"Unknown")</f>
        <v>Cotton T-Shirt</v>
      </c>
      <c r="G88" s="22" t="str">
        <f>IFERROR(INDEX(Products!$C$2:$C$31,MATCH(E88,Products!$A$2:$A$31,0)),"Unknown")</f>
        <v>Apparel</v>
      </c>
      <c r="H88" s="23">
        <v>45423</v>
      </c>
      <c r="I88" s="22">
        <f t="shared" si="8"/>
        <v>5</v>
      </c>
      <c r="J88" s="22" t="str">
        <f t="shared" si="9"/>
        <v>May</v>
      </c>
      <c r="K88" s="22" t="str">
        <f t="shared" si="10"/>
        <v>Q2</v>
      </c>
      <c r="L88" s="22">
        <v>8</v>
      </c>
      <c r="M88" s="24">
        <v>2280.5</v>
      </c>
      <c r="N88" s="25">
        <v>0</v>
      </c>
      <c r="O88" s="24">
        <f>IFERROR(INDEX(Products!$D$2:$D$31,MATCH(E88,Products!$A$2:$A$31,0)),0)</f>
        <v>1438.51</v>
      </c>
      <c r="P88" s="24">
        <f t="shared" si="11"/>
        <v>18244</v>
      </c>
      <c r="Q88" s="24">
        <f t="shared" si="12"/>
        <v>6735.92</v>
      </c>
      <c r="R88" s="26">
        <f t="shared" si="13"/>
        <v>0.36921289190966894</v>
      </c>
      <c r="S88" s="22" t="str">
        <f t="shared" si="14"/>
        <v>Bulk</v>
      </c>
      <c r="T88" s="27" t="str">
        <f t="shared" si="15"/>
        <v>High</v>
      </c>
    </row>
    <row r="89" spans="1:20" ht="14.25" customHeight="1" x14ac:dyDescent="0.3">
      <c r="A89" s="21" t="s">
        <v>195</v>
      </c>
      <c r="B89" s="22" t="s">
        <v>65</v>
      </c>
      <c r="C89" s="22" t="str">
        <f>IFERROR(INDEX(Customers!$B$2:$B$31,MATCH(B89,Customers!$A$2:$A$31,0)),"Unknown")</f>
        <v>Sana Singh</v>
      </c>
      <c r="D89" s="22" t="str">
        <f>IFERROR(INDEX(Customers!$D$2:$D$31,MATCH(B89,Customers!$A$2:$A$31,0)),"Unknown")</f>
        <v>North</v>
      </c>
      <c r="E89" s="22" t="s">
        <v>91</v>
      </c>
      <c r="F89" s="22" t="str">
        <f>IFERROR(INDEX(Products!$B$2:$B$31,MATCH(E89,Products!$A$2:$A$31,0)),"Unknown")</f>
        <v>Hair Oil</v>
      </c>
      <c r="G89" s="22" t="str">
        <f>IFERROR(INDEX(Products!$C$2:$C$31,MATCH(E89,Products!$A$2:$A$31,0)),"Unknown")</f>
        <v>Beauty</v>
      </c>
      <c r="H89" s="23">
        <v>45426</v>
      </c>
      <c r="I89" s="22">
        <f t="shared" si="8"/>
        <v>5</v>
      </c>
      <c r="J89" s="22" t="str">
        <f t="shared" si="9"/>
        <v>May</v>
      </c>
      <c r="K89" s="22" t="str">
        <f t="shared" si="10"/>
        <v>Q2</v>
      </c>
      <c r="L89" s="22">
        <v>3</v>
      </c>
      <c r="M89" s="24">
        <v>3349.66</v>
      </c>
      <c r="N89" s="25">
        <v>0</v>
      </c>
      <c r="O89" s="24">
        <f>IFERROR(INDEX(Products!$D$2:$D$31,MATCH(E89,Products!$A$2:$A$31,0)),0)</f>
        <v>2430.0100000000002</v>
      </c>
      <c r="P89" s="24">
        <f t="shared" si="11"/>
        <v>10048.98</v>
      </c>
      <c r="Q89" s="24">
        <f t="shared" si="12"/>
        <v>2758.95</v>
      </c>
      <c r="R89" s="26">
        <f t="shared" si="13"/>
        <v>0.27455025286148443</v>
      </c>
      <c r="S89" s="22" t="str">
        <f t="shared" si="14"/>
        <v>Regular</v>
      </c>
      <c r="T89" s="27" t="str">
        <f t="shared" si="15"/>
        <v>Medium</v>
      </c>
    </row>
    <row r="90" spans="1:20" ht="14.25" customHeight="1" x14ac:dyDescent="0.3">
      <c r="A90" s="21" t="s">
        <v>196</v>
      </c>
      <c r="B90" s="22" t="s">
        <v>88</v>
      </c>
      <c r="C90" s="22" t="str">
        <f>IFERROR(INDEX(Customers!$B$2:$B$31,MATCH(B90,Customers!$A$2:$A$31,0)),"Unknown")</f>
        <v>Zara Khan</v>
      </c>
      <c r="D90" s="22" t="str">
        <f>IFERROR(INDEX(Customers!$D$2:$D$31,MATCH(B90,Customers!$A$2:$A$31,0)),"Unknown")</f>
        <v>North</v>
      </c>
      <c r="E90" s="22" t="s">
        <v>97</v>
      </c>
      <c r="F90" s="22" t="str">
        <f>IFERROR(INDEX(Products!$B$2:$B$31,MATCH(E90,Products!$A$2:$A$31,0)),"Unknown")</f>
        <v>Cotton T-Shirt</v>
      </c>
      <c r="G90" s="22" t="str">
        <f>IFERROR(INDEX(Products!$C$2:$C$31,MATCH(E90,Products!$A$2:$A$31,0)),"Unknown")</f>
        <v>Apparel</v>
      </c>
      <c r="H90" s="23">
        <v>45427</v>
      </c>
      <c r="I90" s="22">
        <f t="shared" si="8"/>
        <v>5</v>
      </c>
      <c r="J90" s="22" t="str">
        <f t="shared" si="9"/>
        <v>May</v>
      </c>
      <c r="K90" s="22" t="str">
        <f t="shared" si="10"/>
        <v>Q2</v>
      </c>
      <c r="L90" s="22">
        <v>7</v>
      </c>
      <c r="M90" s="24">
        <v>2278.5500000000002</v>
      </c>
      <c r="N90" s="25">
        <v>0.1</v>
      </c>
      <c r="O90" s="24">
        <f>IFERROR(INDEX(Products!$D$2:$D$31,MATCH(E90,Products!$A$2:$A$31,0)),0)</f>
        <v>1438.51</v>
      </c>
      <c r="P90" s="24">
        <f t="shared" si="11"/>
        <v>14354.87</v>
      </c>
      <c r="Q90" s="24">
        <f t="shared" si="12"/>
        <v>4285.3</v>
      </c>
      <c r="R90" s="26">
        <f t="shared" si="13"/>
        <v>0.29852586613462889</v>
      </c>
      <c r="S90" s="22" t="str">
        <f t="shared" si="14"/>
        <v>Bulk</v>
      </c>
      <c r="T90" s="27" t="str">
        <f t="shared" si="15"/>
        <v>Medium</v>
      </c>
    </row>
    <row r="91" spans="1:20" ht="14.25" customHeight="1" x14ac:dyDescent="0.3">
      <c r="A91" s="21" t="s">
        <v>197</v>
      </c>
      <c r="B91" s="22" t="s">
        <v>93</v>
      </c>
      <c r="C91" s="22" t="str">
        <f>IFERROR(INDEX(Customers!$B$2:$B$31,MATCH(B91,Customers!$A$2:$A$31,0)),"Unknown")</f>
        <v>Karan Kapoor</v>
      </c>
      <c r="D91" s="22" t="str">
        <f>IFERROR(INDEX(Customers!$D$2:$D$31,MATCH(B91,Customers!$A$2:$A$31,0)),"Unknown")</f>
        <v>South</v>
      </c>
      <c r="E91" s="22" t="s">
        <v>66</v>
      </c>
      <c r="F91" s="22" t="str">
        <f>IFERROR(INDEX(Products!$B$2:$B$31,MATCH(E91,Products!$A$2:$A$31,0)),"Unknown")</f>
        <v>USB-C Cable</v>
      </c>
      <c r="G91" s="22" t="str">
        <f>IFERROR(INDEX(Products!$C$2:$C$31,MATCH(E91,Products!$A$2:$A$31,0)),"Unknown")</f>
        <v>Electronics</v>
      </c>
      <c r="H91" s="23">
        <v>45427</v>
      </c>
      <c r="I91" s="22">
        <f t="shared" si="8"/>
        <v>5</v>
      </c>
      <c r="J91" s="22" t="str">
        <f t="shared" si="9"/>
        <v>May</v>
      </c>
      <c r="K91" s="22" t="str">
        <f t="shared" si="10"/>
        <v>Q2</v>
      </c>
      <c r="L91" s="22">
        <v>2</v>
      </c>
      <c r="M91" s="24">
        <v>1049.3499999999999</v>
      </c>
      <c r="N91" s="25">
        <v>0.15</v>
      </c>
      <c r="O91" s="24">
        <f>IFERROR(INDEX(Products!$D$2:$D$31,MATCH(E91,Products!$A$2:$A$31,0)),0)</f>
        <v>676.84</v>
      </c>
      <c r="P91" s="24">
        <f t="shared" si="11"/>
        <v>1783.9</v>
      </c>
      <c r="Q91" s="24">
        <f t="shared" si="12"/>
        <v>430.22</v>
      </c>
      <c r="R91" s="26">
        <f t="shared" si="13"/>
        <v>0.24116822691854925</v>
      </c>
      <c r="S91" s="22" t="str">
        <f t="shared" si="14"/>
        <v>Regular</v>
      </c>
      <c r="T91" s="27" t="str">
        <f t="shared" si="15"/>
        <v>Medium</v>
      </c>
    </row>
    <row r="92" spans="1:20" ht="14.25" customHeight="1" x14ac:dyDescent="0.3">
      <c r="A92" s="21" t="s">
        <v>198</v>
      </c>
      <c r="B92" s="22" t="s">
        <v>199</v>
      </c>
      <c r="C92" s="22" t="str">
        <f>IFERROR(INDEX(Customers!$B$2:$B$31,MATCH(B92,Customers!$A$2:$A$31,0)),"Unknown")</f>
        <v>Sai Kapoor</v>
      </c>
      <c r="D92" s="22" t="str">
        <f>IFERROR(INDEX(Customers!$D$2:$D$31,MATCH(B92,Customers!$A$2:$A$31,0)),"Unknown")</f>
        <v>South</v>
      </c>
      <c r="E92" s="22" t="s">
        <v>108</v>
      </c>
      <c r="F92" s="22" t="str">
        <f>IFERROR(INDEX(Products!$B$2:$B$31,MATCH(E92,Products!$A$2:$A$31,0)),"Unknown")</f>
        <v>Denim Jeans</v>
      </c>
      <c r="G92" s="22" t="str">
        <f>IFERROR(INDEX(Products!$C$2:$C$31,MATCH(E92,Products!$A$2:$A$31,0)),"Unknown")</f>
        <v>Apparel</v>
      </c>
      <c r="H92" s="23">
        <v>45428</v>
      </c>
      <c r="I92" s="22">
        <f t="shared" si="8"/>
        <v>5</v>
      </c>
      <c r="J92" s="22" t="str">
        <f t="shared" si="9"/>
        <v>May</v>
      </c>
      <c r="K92" s="22" t="str">
        <f t="shared" si="10"/>
        <v>Q2</v>
      </c>
      <c r="L92" s="22">
        <v>3</v>
      </c>
      <c r="M92" s="24">
        <v>1122.03</v>
      </c>
      <c r="N92" s="25">
        <v>0.05</v>
      </c>
      <c r="O92" s="24">
        <f>IFERROR(INDEX(Products!$D$2:$D$31,MATCH(E92,Products!$A$2:$A$31,0)),0)</f>
        <v>715.83</v>
      </c>
      <c r="P92" s="24">
        <f t="shared" si="11"/>
        <v>3197.79</v>
      </c>
      <c r="Q92" s="24">
        <f t="shared" si="12"/>
        <v>1050.3</v>
      </c>
      <c r="R92" s="26">
        <f t="shared" si="13"/>
        <v>0.32844558273057328</v>
      </c>
      <c r="S92" s="22" t="str">
        <f t="shared" si="14"/>
        <v>Regular</v>
      </c>
      <c r="T92" s="27" t="str">
        <f t="shared" si="15"/>
        <v>High</v>
      </c>
    </row>
    <row r="93" spans="1:20" ht="14.25" customHeight="1" x14ac:dyDescent="0.3">
      <c r="A93" s="21" t="s">
        <v>200</v>
      </c>
      <c r="B93" s="22" t="s">
        <v>153</v>
      </c>
      <c r="C93" s="22" t="str">
        <f>IFERROR(INDEX(Customers!$B$2:$B$31,MATCH(B93,Customers!$A$2:$A$31,0)),"Unknown")</f>
        <v>Rohan Sharma</v>
      </c>
      <c r="D93" s="22" t="str">
        <f>IFERROR(INDEX(Customers!$D$2:$D$31,MATCH(B93,Customers!$A$2:$A$31,0)),"Unknown")</f>
        <v>North</v>
      </c>
      <c r="E93" s="22" t="s">
        <v>155</v>
      </c>
      <c r="F93" s="22" t="str">
        <f>IFERROR(INDEX(Products!$B$2:$B$31,MATCH(E93,Products!$A$2:$A$31,0)),"Unknown")</f>
        <v>Lipstick</v>
      </c>
      <c r="G93" s="22" t="str">
        <f>IFERROR(INDEX(Products!$C$2:$C$31,MATCH(E93,Products!$A$2:$A$31,0)),"Unknown")</f>
        <v>Beauty</v>
      </c>
      <c r="H93" s="23">
        <v>45428</v>
      </c>
      <c r="I93" s="22">
        <f t="shared" si="8"/>
        <v>5</v>
      </c>
      <c r="J93" s="22" t="str">
        <f t="shared" si="9"/>
        <v>May</v>
      </c>
      <c r="K93" s="22" t="str">
        <f t="shared" si="10"/>
        <v>Q2</v>
      </c>
      <c r="L93" s="22">
        <v>1</v>
      </c>
      <c r="M93" s="24">
        <v>1674.98</v>
      </c>
      <c r="N93" s="25">
        <v>0.15</v>
      </c>
      <c r="O93" s="24">
        <f>IFERROR(INDEX(Products!$D$2:$D$31,MATCH(E93,Products!$A$2:$A$31,0)),0)</f>
        <v>1360.46</v>
      </c>
      <c r="P93" s="24">
        <f t="shared" si="11"/>
        <v>1423.73</v>
      </c>
      <c r="Q93" s="24">
        <f t="shared" si="12"/>
        <v>63.27</v>
      </c>
      <c r="R93" s="26">
        <f t="shared" si="13"/>
        <v>4.4439605824138008E-2</v>
      </c>
      <c r="S93" s="22" t="str">
        <f t="shared" si="14"/>
        <v>Regular</v>
      </c>
      <c r="T93" s="27" t="str">
        <f t="shared" si="15"/>
        <v>Low</v>
      </c>
    </row>
    <row r="94" spans="1:20" ht="14.25" customHeight="1" x14ac:dyDescent="0.3">
      <c r="A94" s="21" t="s">
        <v>201</v>
      </c>
      <c r="B94" s="22" t="s">
        <v>123</v>
      </c>
      <c r="C94" s="22" t="str">
        <f>IFERROR(INDEX(Customers!$B$2:$B$31,MATCH(B94,Customers!$A$2:$A$31,0)),"Unknown")</f>
        <v>Kabir Gupta</v>
      </c>
      <c r="D94" s="22" t="str">
        <f>IFERROR(INDEX(Customers!$D$2:$D$31,MATCH(B94,Customers!$A$2:$A$31,0)),"Unknown")</f>
        <v>Central</v>
      </c>
      <c r="E94" s="22" t="s">
        <v>120</v>
      </c>
      <c r="F94" s="22" t="str">
        <f>IFERROR(INDEX(Products!$B$2:$B$31,MATCH(E94,Products!$A$2:$A$31,0)),"Unknown")</f>
        <v>Kids Story Book</v>
      </c>
      <c r="G94" s="22" t="str">
        <f>IFERROR(INDEX(Products!$C$2:$C$31,MATCH(E94,Products!$A$2:$A$31,0)),"Unknown")</f>
        <v>Books</v>
      </c>
      <c r="H94" s="23">
        <v>45429</v>
      </c>
      <c r="I94" s="22">
        <f t="shared" si="8"/>
        <v>5</v>
      </c>
      <c r="J94" s="22" t="str">
        <f t="shared" si="9"/>
        <v>May</v>
      </c>
      <c r="K94" s="22" t="str">
        <f t="shared" si="10"/>
        <v>Q2</v>
      </c>
      <c r="L94" s="22">
        <v>6</v>
      </c>
      <c r="M94" s="24">
        <v>1689.1</v>
      </c>
      <c r="N94" s="25">
        <v>0.2</v>
      </c>
      <c r="O94" s="24">
        <f>IFERROR(INDEX(Products!$D$2:$D$31,MATCH(E94,Products!$A$2:$A$31,0)),0)</f>
        <v>1101.6300000000001</v>
      </c>
      <c r="P94" s="24">
        <f t="shared" si="11"/>
        <v>8107.68</v>
      </c>
      <c r="Q94" s="24">
        <f t="shared" si="12"/>
        <v>1497.9</v>
      </c>
      <c r="R94" s="26">
        <f t="shared" si="13"/>
        <v>0.18475075483985554</v>
      </c>
      <c r="S94" s="22" t="str">
        <f t="shared" si="14"/>
        <v>Bulk</v>
      </c>
      <c r="T94" s="27" t="str">
        <f t="shared" si="15"/>
        <v>Medium</v>
      </c>
    </row>
    <row r="95" spans="1:20" ht="14.25" customHeight="1" x14ac:dyDescent="0.3">
      <c r="A95" s="21" t="s">
        <v>202</v>
      </c>
      <c r="B95" s="22" t="s">
        <v>88</v>
      </c>
      <c r="C95" s="22" t="str">
        <f>IFERROR(INDEX(Customers!$B$2:$B$31,MATCH(B95,Customers!$A$2:$A$31,0)),"Unknown")</f>
        <v>Zara Khan</v>
      </c>
      <c r="D95" s="22" t="str">
        <f>IFERROR(INDEX(Customers!$D$2:$D$31,MATCH(B95,Customers!$A$2:$A$31,0)),"Unknown")</f>
        <v>North</v>
      </c>
      <c r="E95" s="22" t="s">
        <v>66</v>
      </c>
      <c r="F95" s="22" t="str">
        <f>IFERROR(INDEX(Products!$B$2:$B$31,MATCH(E95,Products!$A$2:$A$31,0)),"Unknown")</f>
        <v>USB-C Cable</v>
      </c>
      <c r="G95" s="22" t="str">
        <f>IFERROR(INDEX(Products!$C$2:$C$31,MATCH(E95,Products!$A$2:$A$31,0)),"Unknown")</f>
        <v>Electronics</v>
      </c>
      <c r="H95" s="23">
        <v>45431</v>
      </c>
      <c r="I95" s="22">
        <f t="shared" si="8"/>
        <v>5</v>
      </c>
      <c r="J95" s="22" t="str">
        <f t="shared" si="9"/>
        <v>May</v>
      </c>
      <c r="K95" s="22" t="str">
        <f t="shared" si="10"/>
        <v>Q2</v>
      </c>
      <c r="L95" s="22">
        <v>5</v>
      </c>
      <c r="M95" s="24">
        <v>962.58</v>
      </c>
      <c r="N95" s="25">
        <v>0.15</v>
      </c>
      <c r="O95" s="24">
        <f>IFERROR(INDEX(Products!$D$2:$D$31,MATCH(E95,Products!$A$2:$A$31,0)),0)</f>
        <v>676.84</v>
      </c>
      <c r="P95" s="24">
        <f t="shared" si="11"/>
        <v>4090.97</v>
      </c>
      <c r="Q95" s="24">
        <f t="shared" si="12"/>
        <v>706.77</v>
      </c>
      <c r="R95" s="26">
        <f t="shared" si="13"/>
        <v>0.17276342774452025</v>
      </c>
      <c r="S95" s="22" t="str">
        <f t="shared" si="14"/>
        <v>Bulk</v>
      </c>
      <c r="T95" s="27" t="str">
        <f t="shared" si="15"/>
        <v>Medium</v>
      </c>
    </row>
    <row r="96" spans="1:20" ht="14.25" customHeight="1" x14ac:dyDescent="0.3">
      <c r="A96" s="21" t="s">
        <v>203</v>
      </c>
      <c r="B96" s="22" t="s">
        <v>79</v>
      </c>
      <c r="C96" s="22" t="str">
        <f>IFERROR(INDEX(Customers!$B$2:$B$31,MATCH(B96,Customers!$A$2:$A$31,0)),"Unknown")</f>
        <v>Imran Iyer</v>
      </c>
      <c r="D96" s="22" t="str">
        <f>IFERROR(INDEX(Customers!$D$2:$D$31,MATCH(B96,Customers!$A$2:$A$31,0)),"Unknown")</f>
        <v>North</v>
      </c>
      <c r="E96" s="22" t="s">
        <v>163</v>
      </c>
      <c r="F96" s="22" t="str">
        <f>IFERROR(INDEX(Products!$B$2:$B$31,MATCH(E96,Products!$A$2:$A$31,0)),"Unknown")</f>
        <v>Formal Shirt</v>
      </c>
      <c r="G96" s="22" t="str">
        <f>IFERROR(INDEX(Products!$C$2:$C$31,MATCH(E96,Products!$A$2:$A$31,0)),"Unknown")</f>
        <v>Apparel</v>
      </c>
      <c r="H96" s="23">
        <v>45431</v>
      </c>
      <c r="I96" s="22">
        <f t="shared" si="8"/>
        <v>5</v>
      </c>
      <c r="J96" s="22" t="str">
        <f t="shared" si="9"/>
        <v>May</v>
      </c>
      <c r="K96" s="22" t="str">
        <f t="shared" si="10"/>
        <v>Q2</v>
      </c>
      <c r="L96" s="22">
        <v>6</v>
      </c>
      <c r="M96" s="24">
        <v>1933.95</v>
      </c>
      <c r="N96" s="25">
        <v>0.1</v>
      </c>
      <c r="O96" s="24">
        <f>IFERROR(INDEX(Products!$D$2:$D$31,MATCH(E96,Products!$A$2:$A$31,0)),0)</f>
        <v>1494.7</v>
      </c>
      <c r="P96" s="24">
        <f t="shared" si="11"/>
        <v>10443.33</v>
      </c>
      <c r="Q96" s="24">
        <f t="shared" si="12"/>
        <v>1475.13</v>
      </c>
      <c r="R96" s="26">
        <f t="shared" si="13"/>
        <v>0.14125092283783047</v>
      </c>
      <c r="S96" s="22" t="str">
        <f t="shared" si="14"/>
        <v>Bulk</v>
      </c>
      <c r="T96" s="27" t="str">
        <f t="shared" si="15"/>
        <v>Low</v>
      </c>
    </row>
    <row r="97" spans="1:20" ht="14.25" customHeight="1" x14ac:dyDescent="0.3">
      <c r="A97" s="21" t="s">
        <v>204</v>
      </c>
      <c r="B97" s="22" t="s">
        <v>205</v>
      </c>
      <c r="C97" s="22" t="str">
        <f>IFERROR(INDEX(Customers!$B$2:$B$31,MATCH(B97,Customers!$A$2:$A$31,0)),"Unknown")</f>
        <v>Ayaan Kapoor</v>
      </c>
      <c r="D97" s="22" t="str">
        <f>IFERROR(INDEX(Customers!$D$2:$D$31,MATCH(B97,Customers!$A$2:$A$31,0)),"Unknown")</f>
        <v>South</v>
      </c>
      <c r="E97" s="22" t="s">
        <v>102</v>
      </c>
      <c r="F97" s="22" t="str">
        <f>IFERROR(INDEX(Products!$B$2:$B$31,MATCH(E97,Products!$A$2:$A$31,0)),"Unknown")</f>
        <v>Storage Jars Set</v>
      </c>
      <c r="G97" s="22" t="str">
        <f>IFERROR(INDEX(Products!$C$2:$C$31,MATCH(E97,Products!$A$2:$A$31,0)),"Unknown")</f>
        <v>Home &amp; Kitchen</v>
      </c>
      <c r="H97" s="23">
        <v>45432</v>
      </c>
      <c r="I97" s="22">
        <f t="shared" si="8"/>
        <v>5</v>
      </c>
      <c r="J97" s="22" t="str">
        <f t="shared" si="9"/>
        <v>May</v>
      </c>
      <c r="K97" s="22" t="str">
        <f t="shared" si="10"/>
        <v>Q2</v>
      </c>
      <c r="L97" s="22">
        <v>1</v>
      </c>
      <c r="M97" s="24">
        <v>1844.4</v>
      </c>
      <c r="N97" s="25">
        <v>0.15</v>
      </c>
      <c r="O97" s="24">
        <f>IFERROR(INDEX(Products!$D$2:$D$31,MATCH(E97,Products!$A$2:$A$31,0)),0)</f>
        <v>1313.05</v>
      </c>
      <c r="P97" s="24">
        <f t="shared" si="11"/>
        <v>1567.74</v>
      </c>
      <c r="Q97" s="24">
        <f t="shared" si="12"/>
        <v>254.69</v>
      </c>
      <c r="R97" s="26">
        <f t="shared" si="13"/>
        <v>0.16245678492607193</v>
      </c>
      <c r="S97" s="22" t="str">
        <f t="shared" si="14"/>
        <v>Regular</v>
      </c>
      <c r="T97" s="27" t="str">
        <f t="shared" si="15"/>
        <v>Medium</v>
      </c>
    </row>
    <row r="98" spans="1:20" ht="14.25" customHeight="1" x14ac:dyDescent="0.3">
      <c r="A98" s="21" t="s">
        <v>206</v>
      </c>
      <c r="B98" s="22" t="s">
        <v>56</v>
      </c>
      <c r="C98" s="22" t="str">
        <f>IFERROR(INDEX(Customers!$B$2:$B$31,MATCH(B98,Customers!$A$2:$A$31,0)),"Unknown")</f>
        <v>Mohammed Patel</v>
      </c>
      <c r="D98" s="22" t="str">
        <f>IFERROR(INDEX(Customers!$D$2:$D$31,MATCH(B98,Customers!$A$2:$A$31,0)),"Unknown")</f>
        <v>East</v>
      </c>
      <c r="E98" s="22" t="s">
        <v>57</v>
      </c>
      <c r="F98" s="22" t="str">
        <f>IFERROR(INDEX(Products!$B$2:$B$31,MATCH(E98,Products!$A$2:$A$31,0)),"Unknown")</f>
        <v>Smartwatch</v>
      </c>
      <c r="G98" s="22" t="str">
        <f>IFERROR(INDEX(Products!$C$2:$C$31,MATCH(E98,Products!$A$2:$A$31,0)),"Unknown")</f>
        <v>Electronics</v>
      </c>
      <c r="H98" s="23">
        <v>45434</v>
      </c>
      <c r="I98" s="22">
        <f t="shared" si="8"/>
        <v>5</v>
      </c>
      <c r="J98" s="22" t="str">
        <f t="shared" si="9"/>
        <v>May</v>
      </c>
      <c r="K98" s="22" t="str">
        <f t="shared" si="10"/>
        <v>Q2</v>
      </c>
      <c r="L98" s="22">
        <v>8</v>
      </c>
      <c r="M98" s="24">
        <v>1499.62</v>
      </c>
      <c r="N98" s="25">
        <v>0.05</v>
      </c>
      <c r="O98" s="24">
        <f>IFERROR(INDEX(Products!$D$2:$D$31,MATCH(E98,Products!$A$2:$A$31,0)),0)</f>
        <v>1190.42</v>
      </c>
      <c r="P98" s="24">
        <f t="shared" si="11"/>
        <v>11397.11</v>
      </c>
      <c r="Q98" s="24">
        <f t="shared" si="12"/>
        <v>1873.75</v>
      </c>
      <c r="R98" s="26">
        <f t="shared" si="13"/>
        <v>0.16440571337821605</v>
      </c>
      <c r="S98" s="22" t="str">
        <f t="shared" si="14"/>
        <v>Bulk</v>
      </c>
      <c r="T98" s="27" t="str">
        <f t="shared" si="15"/>
        <v>Medium</v>
      </c>
    </row>
    <row r="99" spans="1:20" ht="14.25" customHeight="1" x14ac:dyDescent="0.3">
      <c r="A99" s="21" t="s">
        <v>207</v>
      </c>
      <c r="B99" s="22" t="s">
        <v>53</v>
      </c>
      <c r="C99" s="22" t="str">
        <f>IFERROR(INDEX(Customers!$B$2:$B$31,MATCH(B99,Customers!$A$2:$A$31,0)),"Unknown")</f>
        <v>Aisha Malhotra</v>
      </c>
      <c r="D99" s="22" t="str">
        <f>IFERROR(INDEX(Customers!$D$2:$D$31,MATCH(B99,Customers!$A$2:$A$31,0)),"Unknown")</f>
        <v>Central</v>
      </c>
      <c r="E99" s="22" t="s">
        <v>69</v>
      </c>
      <c r="F99" s="22" t="str">
        <f>IFERROR(INDEX(Products!$B$2:$B$31,MATCH(E99,Products!$A$2:$A$31,0)),"Unknown")</f>
        <v>Non-Stick Pan</v>
      </c>
      <c r="G99" s="22" t="str">
        <f>IFERROR(INDEX(Products!$C$2:$C$31,MATCH(E99,Products!$A$2:$A$31,0)),"Unknown")</f>
        <v>Home &amp; Kitchen</v>
      </c>
      <c r="H99" s="23">
        <v>45435</v>
      </c>
      <c r="I99" s="22">
        <f t="shared" si="8"/>
        <v>5</v>
      </c>
      <c r="J99" s="22" t="str">
        <f t="shared" si="9"/>
        <v>May</v>
      </c>
      <c r="K99" s="22" t="str">
        <f t="shared" si="10"/>
        <v>Q2</v>
      </c>
      <c r="L99" s="22">
        <v>5</v>
      </c>
      <c r="M99" s="24">
        <v>855.13</v>
      </c>
      <c r="N99" s="25">
        <v>0.1</v>
      </c>
      <c r="O99" s="24">
        <f>IFERROR(INDEX(Products!$D$2:$D$31,MATCH(E99,Products!$A$2:$A$31,0)),0)</f>
        <v>610.76</v>
      </c>
      <c r="P99" s="24">
        <f t="shared" si="11"/>
        <v>3848.09</v>
      </c>
      <c r="Q99" s="24">
        <f t="shared" si="12"/>
        <v>794.29</v>
      </c>
      <c r="R99" s="26">
        <f t="shared" si="13"/>
        <v>0.20641149245469828</v>
      </c>
      <c r="S99" s="22" t="str">
        <f t="shared" si="14"/>
        <v>Bulk</v>
      </c>
      <c r="T99" s="27" t="str">
        <f t="shared" si="15"/>
        <v>Medium</v>
      </c>
    </row>
    <row r="100" spans="1:20" ht="14.25" customHeight="1" x14ac:dyDescent="0.3">
      <c r="A100" s="21" t="s">
        <v>208</v>
      </c>
      <c r="B100" s="22" t="s">
        <v>79</v>
      </c>
      <c r="C100" s="22" t="str">
        <f>IFERROR(INDEX(Customers!$B$2:$B$31,MATCH(B100,Customers!$A$2:$A$31,0)),"Unknown")</f>
        <v>Imran Iyer</v>
      </c>
      <c r="D100" s="22" t="str">
        <f>IFERROR(INDEX(Customers!$D$2:$D$31,MATCH(B100,Customers!$A$2:$A$31,0)),"Unknown")</f>
        <v>North</v>
      </c>
      <c r="E100" s="22" t="s">
        <v>155</v>
      </c>
      <c r="F100" s="22" t="str">
        <f>IFERROR(INDEX(Products!$B$2:$B$31,MATCH(E100,Products!$A$2:$A$31,0)),"Unknown")</f>
        <v>Lipstick</v>
      </c>
      <c r="G100" s="22" t="str">
        <f>IFERROR(INDEX(Products!$C$2:$C$31,MATCH(E100,Products!$A$2:$A$31,0)),"Unknown")</f>
        <v>Beauty</v>
      </c>
      <c r="H100" s="23">
        <v>45436</v>
      </c>
      <c r="I100" s="22">
        <f t="shared" si="8"/>
        <v>5</v>
      </c>
      <c r="J100" s="22" t="str">
        <f t="shared" si="9"/>
        <v>May</v>
      </c>
      <c r="K100" s="22" t="str">
        <f t="shared" si="10"/>
        <v>Q2</v>
      </c>
      <c r="L100" s="22">
        <v>8</v>
      </c>
      <c r="M100" s="24">
        <v>1608.11</v>
      </c>
      <c r="N100" s="25">
        <v>0</v>
      </c>
      <c r="O100" s="24">
        <f>IFERROR(INDEX(Products!$D$2:$D$31,MATCH(E100,Products!$A$2:$A$31,0)),0)</f>
        <v>1360.46</v>
      </c>
      <c r="P100" s="24">
        <f t="shared" si="11"/>
        <v>12864.88</v>
      </c>
      <c r="Q100" s="24">
        <f t="shared" si="12"/>
        <v>1981.2</v>
      </c>
      <c r="R100" s="26">
        <f t="shared" si="13"/>
        <v>0.15400065915888839</v>
      </c>
      <c r="S100" s="22" t="str">
        <f t="shared" si="14"/>
        <v>Bulk</v>
      </c>
      <c r="T100" s="27" t="str">
        <f t="shared" si="15"/>
        <v>Medium</v>
      </c>
    </row>
    <row r="101" spans="1:20" ht="14.25" customHeight="1" x14ac:dyDescent="0.3">
      <c r="A101" s="21" t="s">
        <v>209</v>
      </c>
      <c r="B101" s="22" t="s">
        <v>65</v>
      </c>
      <c r="C101" s="22" t="str">
        <f>IFERROR(INDEX(Customers!$B$2:$B$31,MATCH(B101,Customers!$A$2:$A$31,0)),"Unknown")</f>
        <v>Sana Singh</v>
      </c>
      <c r="D101" s="22" t="str">
        <f>IFERROR(INDEX(Customers!$D$2:$D$31,MATCH(B101,Customers!$A$2:$A$31,0)),"Unknown")</f>
        <v>North</v>
      </c>
      <c r="E101" s="22" t="s">
        <v>177</v>
      </c>
      <c r="F101" s="22" t="str">
        <f>IFERROR(INDEX(Products!$B$2:$B$31,MATCH(E101,Products!$A$2:$A$31,0)),"Unknown")</f>
        <v>Sports Shorts</v>
      </c>
      <c r="G101" s="22" t="str">
        <f>IFERROR(INDEX(Products!$C$2:$C$31,MATCH(E101,Products!$A$2:$A$31,0)),"Unknown")</f>
        <v>Apparel</v>
      </c>
      <c r="H101" s="23">
        <v>45438</v>
      </c>
      <c r="I101" s="22">
        <f t="shared" si="8"/>
        <v>5</v>
      </c>
      <c r="J101" s="22" t="str">
        <f t="shared" si="9"/>
        <v>May</v>
      </c>
      <c r="K101" s="22" t="str">
        <f t="shared" si="10"/>
        <v>Q2</v>
      </c>
      <c r="L101" s="22">
        <v>4</v>
      </c>
      <c r="M101" s="24">
        <v>1405.99</v>
      </c>
      <c r="N101" s="25">
        <v>0.1</v>
      </c>
      <c r="O101" s="24">
        <f>IFERROR(INDEX(Products!$D$2:$D$31,MATCH(E101,Products!$A$2:$A$31,0)),0)</f>
        <v>1046.55</v>
      </c>
      <c r="P101" s="24">
        <f t="shared" si="11"/>
        <v>5061.5600000000004</v>
      </c>
      <c r="Q101" s="24">
        <f t="shared" si="12"/>
        <v>875.36</v>
      </c>
      <c r="R101" s="26">
        <f t="shared" si="13"/>
        <v>0.17294272911908581</v>
      </c>
      <c r="S101" s="22" t="str">
        <f t="shared" si="14"/>
        <v>Regular</v>
      </c>
      <c r="T101" s="27" t="str">
        <f t="shared" si="15"/>
        <v>Medium</v>
      </c>
    </row>
    <row r="102" spans="1:20" ht="14.25" customHeight="1" x14ac:dyDescent="0.3">
      <c r="A102" s="21" t="s">
        <v>210</v>
      </c>
      <c r="B102" s="22" t="s">
        <v>59</v>
      </c>
      <c r="C102" s="22" t="str">
        <f>IFERROR(INDEX(Customers!$B$2:$B$31,MATCH(B102,Customers!$A$2:$A$31,0)),"Unknown")</f>
        <v>Diya Reddy</v>
      </c>
      <c r="D102" s="22" t="str">
        <f>IFERROR(INDEX(Customers!$D$2:$D$31,MATCH(B102,Customers!$A$2:$A$31,0)),"Unknown")</f>
        <v>East</v>
      </c>
      <c r="E102" s="22" t="s">
        <v>99</v>
      </c>
      <c r="F102" s="22" t="str">
        <f>IFERROR(INDEX(Products!$B$2:$B$31,MATCH(E102,Products!$A$2:$A$31,0)),"Unknown")</f>
        <v>Moisturizer</v>
      </c>
      <c r="G102" s="22" t="str">
        <f>IFERROR(INDEX(Products!$C$2:$C$31,MATCH(E102,Products!$A$2:$A$31,0)),"Unknown")</f>
        <v>Beauty</v>
      </c>
      <c r="H102" s="23">
        <v>45439</v>
      </c>
      <c r="I102" s="22">
        <f t="shared" si="8"/>
        <v>5</v>
      </c>
      <c r="J102" s="22" t="str">
        <f t="shared" si="9"/>
        <v>May</v>
      </c>
      <c r="K102" s="22" t="str">
        <f t="shared" si="10"/>
        <v>Q2</v>
      </c>
      <c r="L102" s="22">
        <v>4</v>
      </c>
      <c r="M102" s="24">
        <v>3701.16</v>
      </c>
      <c r="N102" s="25">
        <v>0.05</v>
      </c>
      <c r="O102" s="24">
        <f>IFERROR(INDEX(Products!$D$2:$D$31,MATCH(E102,Products!$A$2:$A$31,0)),0)</f>
        <v>2490.61</v>
      </c>
      <c r="P102" s="24">
        <f t="shared" si="11"/>
        <v>14064.41</v>
      </c>
      <c r="Q102" s="24">
        <f t="shared" si="12"/>
        <v>4101.97</v>
      </c>
      <c r="R102" s="26">
        <f t="shared" si="13"/>
        <v>0.29165603107417948</v>
      </c>
      <c r="S102" s="22" t="str">
        <f t="shared" si="14"/>
        <v>Regular</v>
      </c>
      <c r="T102" s="27" t="str">
        <f t="shared" si="15"/>
        <v>Medium</v>
      </c>
    </row>
    <row r="103" spans="1:20" ht="14.25" customHeight="1" x14ac:dyDescent="0.3">
      <c r="A103" s="21" t="s">
        <v>211</v>
      </c>
      <c r="B103" s="22" t="s">
        <v>59</v>
      </c>
      <c r="C103" s="22" t="str">
        <f>IFERROR(INDEX(Customers!$B$2:$B$31,MATCH(B103,Customers!$A$2:$A$31,0)),"Unknown")</f>
        <v>Diya Reddy</v>
      </c>
      <c r="D103" s="22" t="str">
        <f>IFERROR(INDEX(Customers!$D$2:$D$31,MATCH(B103,Customers!$A$2:$A$31,0)),"Unknown")</f>
        <v>East</v>
      </c>
      <c r="E103" s="22" t="s">
        <v>105</v>
      </c>
      <c r="F103" s="22" t="str">
        <f>IFERROR(INDEX(Products!$B$2:$B$31,MATCH(E103,Products!$A$2:$A$31,0)),"Unknown")</f>
        <v>LED Table Lamp</v>
      </c>
      <c r="G103" s="22" t="str">
        <f>IFERROR(INDEX(Products!$C$2:$C$31,MATCH(E103,Products!$A$2:$A$31,0)),"Unknown")</f>
        <v>Home &amp; Kitchen</v>
      </c>
      <c r="H103" s="23">
        <v>45440</v>
      </c>
      <c r="I103" s="22">
        <f t="shared" si="8"/>
        <v>5</v>
      </c>
      <c r="J103" s="22" t="str">
        <f t="shared" si="9"/>
        <v>May</v>
      </c>
      <c r="K103" s="22" t="str">
        <f t="shared" si="10"/>
        <v>Q2</v>
      </c>
      <c r="L103" s="22">
        <v>2</v>
      </c>
      <c r="M103" s="24">
        <v>399.68</v>
      </c>
      <c r="N103" s="25">
        <v>0</v>
      </c>
      <c r="O103" s="24">
        <f>IFERROR(INDEX(Products!$D$2:$D$31,MATCH(E103,Products!$A$2:$A$31,0)),0)</f>
        <v>300</v>
      </c>
      <c r="P103" s="24">
        <f t="shared" si="11"/>
        <v>799.36</v>
      </c>
      <c r="Q103" s="24">
        <f t="shared" si="12"/>
        <v>199.36</v>
      </c>
      <c r="R103" s="26">
        <f t="shared" si="13"/>
        <v>0.24939951961569257</v>
      </c>
      <c r="S103" s="22" t="str">
        <f t="shared" si="14"/>
        <v>Regular</v>
      </c>
      <c r="T103" s="27" t="str">
        <f t="shared" si="15"/>
        <v>Medium</v>
      </c>
    </row>
    <row r="104" spans="1:20" ht="14.25" customHeight="1" x14ac:dyDescent="0.3">
      <c r="A104" s="21" t="s">
        <v>212</v>
      </c>
      <c r="B104" s="22" t="s">
        <v>168</v>
      </c>
      <c r="C104" s="22" t="str">
        <f>IFERROR(INDEX(Customers!$B$2:$B$31,MATCH(B104,Customers!$A$2:$A$31,0)),"Unknown")</f>
        <v>Neha Reddy</v>
      </c>
      <c r="D104" s="22" t="str">
        <f>IFERROR(INDEX(Customers!$D$2:$D$31,MATCH(B104,Customers!$A$2:$A$31,0)),"Unknown")</f>
        <v>North</v>
      </c>
      <c r="E104" s="22" t="s">
        <v>155</v>
      </c>
      <c r="F104" s="22" t="str">
        <f>IFERROR(INDEX(Products!$B$2:$B$31,MATCH(E104,Products!$A$2:$A$31,0)),"Unknown")</f>
        <v>Lipstick</v>
      </c>
      <c r="G104" s="22" t="str">
        <f>IFERROR(INDEX(Products!$C$2:$C$31,MATCH(E104,Products!$A$2:$A$31,0)),"Unknown")</f>
        <v>Beauty</v>
      </c>
      <c r="H104" s="23">
        <v>45443</v>
      </c>
      <c r="I104" s="22">
        <f t="shared" si="8"/>
        <v>5</v>
      </c>
      <c r="J104" s="22" t="str">
        <f t="shared" si="9"/>
        <v>May</v>
      </c>
      <c r="K104" s="22" t="str">
        <f t="shared" si="10"/>
        <v>Q2</v>
      </c>
      <c r="L104" s="22">
        <v>3</v>
      </c>
      <c r="M104" s="24">
        <v>1681.97</v>
      </c>
      <c r="N104" s="25">
        <v>0.15</v>
      </c>
      <c r="O104" s="24">
        <f>IFERROR(INDEX(Products!$D$2:$D$31,MATCH(E104,Products!$A$2:$A$31,0)),0)</f>
        <v>1360.46</v>
      </c>
      <c r="P104" s="24">
        <f t="shared" si="11"/>
        <v>4289.0200000000004</v>
      </c>
      <c r="Q104" s="24">
        <f t="shared" si="12"/>
        <v>207.64</v>
      </c>
      <c r="R104" s="26">
        <f t="shared" si="13"/>
        <v>4.8411991550517362E-2</v>
      </c>
      <c r="S104" s="22" t="str">
        <f t="shared" si="14"/>
        <v>Regular</v>
      </c>
      <c r="T104" s="27" t="str">
        <f t="shared" si="15"/>
        <v>Low</v>
      </c>
    </row>
    <row r="105" spans="1:20" ht="14.25" customHeight="1" x14ac:dyDescent="0.3">
      <c r="A105" s="21" t="s">
        <v>213</v>
      </c>
      <c r="B105" s="22" t="s">
        <v>101</v>
      </c>
      <c r="C105" s="22" t="str">
        <f>IFERROR(INDEX(Customers!$B$2:$B$31,MATCH(B105,Customers!$A$2:$A$31,0)),"Unknown")</f>
        <v>Ayaan Verma</v>
      </c>
      <c r="D105" s="22" t="str">
        <f>IFERROR(INDEX(Customers!$D$2:$D$31,MATCH(B105,Customers!$A$2:$A$31,0)),"Unknown")</f>
        <v>East</v>
      </c>
      <c r="E105" s="22" t="s">
        <v>117</v>
      </c>
      <c r="F105" s="22" t="str">
        <f>IFERROR(INDEX(Products!$B$2:$B$31,MATCH(E105,Products!$A$2:$A$31,0)),"Unknown")</f>
        <v>Face Wash</v>
      </c>
      <c r="G105" s="22" t="str">
        <f>IFERROR(INDEX(Products!$C$2:$C$31,MATCH(E105,Products!$A$2:$A$31,0)),"Unknown")</f>
        <v>Beauty</v>
      </c>
      <c r="H105" s="23">
        <v>45444</v>
      </c>
      <c r="I105" s="22">
        <f t="shared" si="8"/>
        <v>6</v>
      </c>
      <c r="J105" s="22" t="str">
        <f t="shared" si="9"/>
        <v>Jun</v>
      </c>
      <c r="K105" s="22" t="str">
        <f t="shared" si="10"/>
        <v>Q2</v>
      </c>
      <c r="L105" s="22">
        <v>4</v>
      </c>
      <c r="M105" s="24">
        <v>1223.07</v>
      </c>
      <c r="N105" s="25">
        <v>0.2</v>
      </c>
      <c r="O105" s="24">
        <f>IFERROR(INDEX(Products!$D$2:$D$31,MATCH(E105,Products!$A$2:$A$31,0)),0)</f>
        <v>1003.52</v>
      </c>
      <c r="P105" s="24">
        <f t="shared" si="11"/>
        <v>3913.82</v>
      </c>
      <c r="Q105" s="24">
        <f t="shared" si="12"/>
        <v>-100.26</v>
      </c>
      <c r="R105" s="26">
        <f t="shared" si="13"/>
        <v>-2.5616916465243677E-2</v>
      </c>
      <c r="S105" s="22" t="str">
        <f t="shared" si="14"/>
        <v>Regular</v>
      </c>
      <c r="T105" s="27" t="str">
        <f t="shared" si="15"/>
        <v>Low</v>
      </c>
    </row>
    <row r="106" spans="1:20" ht="14.25" customHeight="1" x14ac:dyDescent="0.3">
      <c r="A106" s="21" t="s">
        <v>214</v>
      </c>
      <c r="B106" s="22" t="s">
        <v>205</v>
      </c>
      <c r="C106" s="22" t="str">
        <f>IFERROR(INDEX(Customers!$B$2:$B$31,MATCH(B106,Customers!$A$2:$A$31,0)),"Unknown")</f>
        <v>Ayaan Kapoor</v>
      </c>
      <c r="D106" s="22" t="str">
        <f>IFERROR(INDEX(Customers!$D$2:$D$31,MATCH(B106,Customers!$A$2:$A$31,0)),"Unknown")</f>
        <v>South</v>
      </c>
      <c r="E106" s="22" t="s">
        <v>117</v>
      </c>
      <c r="F106" s="22" t="str">
        <f>IFERROR(INDEX(Products!$B$2:$B$31,MATCH(E106,Products!$A$2:$A$31,0)),"Unknown")</f>
        <v>Face Wash</v>
      </c>
      <c r="G106" s="22" t="str">
        <f>IFERROR(INDEX(Products!$C$2:$C$31,MATCH(E106,Products!$A$2:$A$31,0)),"Unknown")</f>
        <v>Beauty</v>
      </c>
      <c r="H106" s="23">
        <v>45445</v>
      </c>
      <c r="I106" s="22">
        <f t="shared" si="8"/>
        <v>6</v>
      </c>
      <c r="J106" s="22" t="str">
        <f t="shared" si="9"/>
        <v>Jun</v>
      </c>
      <c r="K106" s="22" t="str">
        <f t="shared" si="10"/>
        <v>Q2</v>
      </c>
      <c r="L106" s="22">
        <v>8</v>
      </c>
      <c r="M106" s="24">
        <v>1296.83</v>
      </c>
      <c r="N106" s="25">
        <v>0.2</v>
      </c>
      <c r="O106" s="24">
        <f>IFERROR(INDEX(Products!$D$2:$D$31,MATCH(E106,Products!$A$2:$A$31,0)),0)</f>
        <v>1003.52</v>
      </c>
      <c r="P106" s="24">
        <f t="shared" si="11"/>
        <v>8299.7099999999991</v>
      </c>
      <c r="Q106" s="24">
        <f t="shared" si="12"/>
        <v>271.55</v>
      </c>
      <c r="R106" s="26">
        <f t="shared" si="13"/>
        <v>3.2718010629287052E-2</v>
      </c>
      <c r="S106" s="22" t="str">
        <f t="shared" si="14"/>
        <v>Bulk</v>
      </c>
      <c r="T106" s="27" t="str">
        <f t="shared" si="15"/>
        <v>Low</v>
      </c>
    </row>
    <row r="107" spans="1:20" ht="14.25" customHeight="1" x14ac:dyDescent="0.3">
      <c r="A107" s="21" t="s">
        <v>215</v>
      </c>
      <c r="B107" s="22" t="s">
        <v>123</v>
      </c>
      <c r="C107" s="22" t="str">
        <f>IFERROR(INDEX(Customers!$B$2:$B$31,MATCH(B107,Customers!$A$2:$A$31,0)),"Unknown")</f>
        <v>Kabir Gupta</v>
      </c>
      <c r="D107" s="22" t="str">
        <f>IFERROR(INDEX(Customers!$D$2:$D$31,MATCH(B107,Customers!$A$2:$A$31,0)),"Unknown")</f>
        <v>Central</v>
      </c>
      <c r="E107" s="22" t="s">
        <v>80</v>
      </c>
      <c r="F107" s="22" t="str">
        <f>IFERROR(INDEX(Products!$B$2:$B$31,MATCH(E107,Products!$A$2:$A$31,0)),"Unknown")</f>
        <v>Dumbbell Set</v>
      </c>
      <c r="G107" s="22" t="str">
        <f>IFERROR(INDEX(Products!$C$2:$C$31,MATCH(E107,Products!$A$2:$A$31,0)),"Unknown")</f>
        <v>Sports</v>
      </c>
      <c r="H107" s="23">
        <v>45445</v>
      </c>
      <c r="I107" s="22">
        <f t="shared" si="8"/>
        <v>6</v>
      </c>
      <c r="J107" s="22" t="str">
        <f t="shared" si="9"/>
        <v>Jun</v>
      </c>
      <c r="K107" s="22" t="str">
        <f t="shared" si="10"/>
        <v>Q2</v>
      </c>
      <c r="L107" s="22">
        <v>5</v>
      </c>
      <c r="M107" s="24">
        <v>2000.37</v>
      </c>
      <c r="N107" s="25">
        <v>0</v>
      </c>
      <c r="O107" s="24">
        <f>IFERROR(INDEX(Products!$D$2:$D$31,MATCH(E107,Products!$A$2:$A$31,0)),0)</f>
        <v>1379.47</v>
      </c>
      <c r="P107" s="24">
        <f t="shared" si="11"/>
        <v>10001.85</v>
      </c>
      <c r="Q107" s="24">
        <f t="shared" si="12"/>
        <v>3104.5</v>
      </c>
      <c r="R107" s="26">
        <f t="shared" si="13"/>
        <v>0.31039257737318593</v>
      </c>
      <c r="S107" s="22" t="str">
        <f t="shared" si="14"/>
        <v>Bulk</v>
      </c>
      <c r="T107" s="27" t="str">
        <f t="shared" si="15"/>
        <v>High</v>
      </c>
    </row>
    <row r="108" spans="1:20" ht="14.25" customHeight="1" x14ac:dyDescent="0.3">
      <c r="A108" s="21" t="s">
        <v>216</v>
      </c>
      <c r="B108" s="22" t="s">
        <v>199</v>
      </c>
      <c r="C108" s="22" t="str">
        <f>IFERROR(INDEX(Customers!$B$2:$B$31,MATCH(B108,Customers!$A$2:$A$31,0)),"Unknown")</f>
        <v>Sai Kapoor</v>
      </c>
      <c r="D108" s="22" t="str">
        <f>IFERROR(INDEX(Customers!$D$2:$D$31,MATCH(B108,Customers!$A$2:$A$31,0)),"Unknown")</f>
        <v>South</v>
      </c>
      <c r="E108" s="22" t="s">
        <v>97</v>
      </c>
      <c r="F108" s="22" t="str">
        <f>IFERROR(INDEX(Products!$B$2:$B$31,MATCH(E108,Products!$A$2:$A$31,0)),"Unknown")</f>
        <v>Cotton T-Shirt</v>
      </c>
      <c r="G108" s="22" t="str">
        <f>IFERROR(INDEX(Products!$C$2:$C$31,MATCH(E108,Products!$A$2:$A$31,0)),"Unknown")</f>
        <v>Apparel</v>
      </c>
      <c r="H108" s="23">
        <v>45449</v>
      </c>
      <c r="I108" s="22">
        <f t="shared" si="8"/>
        <v>6</v>
      </c>
      <c r="J108" s="22" t="str">
        <f t="shared" si="9"/>
        <v>Jun</v>
      </c>
      <c r="K108" s="22" t="str">
        <f t="shared" si="10"/>
        <v>Q2</v>
      </c>
      <c r="L108" s="22">
        <v>5</v>
      </c>
      <c r="M108" s="24">
        <v>1938.56</v>
      </c>
      <c r="N108" s="25">
        <v>0.05</v>
      </c>
      <c r="O108" s="24">
        <f>IFERROR(INDEX(Products!$D$2:$D$31,MATCH(E108,Products!$A$2:$A$31,0)),0)</f>
        <v>1438.51</v>
      </c>
      <c r="P108" s="24">
        <f t="shared" si="11"/>
        <v>9208.16</v>
      </c>
      <c r="Q108" s="24">
        <f t="shared" si="12"/>
        <v>2015.61</v>
      </c>
      <c r="R108" s="26">
        <f t="shared" si="13"/>
        <v>0.21889389411130997</v>
      </c>
      <c r="S108" s="22" t="str">
        <f t="shared" si="14"/>
        <v>Bulk</v>
      </c>
      <c r="T108" s="27" t="str">
        <f t="shared" si="15"/>
        <v>Medium</v>
      </c>
    </row>
    <row r="109" spans="1:20" ht="14.25" customHeight="1" x14ac:dyDescent="0.3">
      <c r="A109" s="21" t="s">
        <v>217</v>
      </c>
      <c r="B109" s="22" t="s">
        <v>116</v>
      </c>
      <c r="C109" s="22" t="str">
        <f>IFERROR(INDEX(Customers!$B$2:$B$31,MATCH(B109,Customers!$A$2:$A$31,0)),"Unknown")</f>
        <v>Kabir Patel</v>
      </c>
      <c r="D109" s="22" t="str">
        <f>IFERROR(INDEX(Customers!$D$2:$D$31,MATCH(B109,Customers!$A$2:$A$31,0)),"Unknown")</f>
        <v>Central</v>
      </c>
      <c r="E109" s="22" t="s">
        <v>99</v>
      </c>
      <c r="F109" s="22" t="str">
        <f>IFERROR(INDEX(Products!$B$2:$B$31,MATCH(E109,Products!$A$2:$A$31,0)),"Unknown")</f>
        <v>Moisturizer</v>
      </c>
      <c r="G109" s="22" t="str">
        <f>IFERROR(INDEX(Products!$C$2:$C$31,MATCH(E109,Products!$A$2:$A$31,0)),"Unknown")</f>
        <v>Beauty</v>
      </c>
      <c r="H109" s="23">
        <v>45450</v>
      </c>
      <c r="I109" s="22">
        <f t="shared" si="8"/>
        <v>6</v>
      </c>
      <c r="J109" s="22" t="str">
        <f t="shared" si="9"/>
        <v>Jun</v>
      </c>
      <c r="K109" s="22" t="str">
        <f t="shared" si="10"/>
        <v>Q2</v>
      </c>
      <c r="L109" s="22">
        <v>4</v>
      </c>
      <c r="M109" s="24">
        <v>3768.18</v>
      </c>
      <c r="N109" s="25">
        <v>0</v>
      </c>
      <c r="O109" s="24">
        <f>IFERROR(INDEX(Products!$D$2:$D$31,MATCH(E109,Products!$A$2:$A$31,0)),0)</f>
        <v>2490.61</v>
      </c>
      <c r="P109" s="24">
        <f t="shared" si="11"/>
        <v>15072.72</v>
      </c>
      <c r="Q109" s="24">
        <f t="shared" si="12"/>
        <v>5110.28</v>
      </c>
      <c r="R109" s="26">
        <f t="shared" si="13"/>
        <v>0.33904165936871383</v>
      </c>
      <c r="S109" s="22" t="str">
        <f t="shared" si="14"/>
        <v>Regular</v>
      </c>
      <c r="T109" s="27" t="str">
        <f t="shared" si="15"/>
        <v>High</v>
      </c>
    </row>
    <row r="110" spans="1:20" ht="14.25" customHeight="1" x14ac:dyDescent="0.3">
      <c r="A110" s="21" t="s">
        <v>218</v>
      </c>
      <c r="B110" s="22" t="s">
        <v>59</v>
      </c>
      <c r="C110" s="22" t="str">
        <f>IFERROR(INDEX(Customers!$B$2:$B$31,MATCH(B110,Customers!$A$2:$A$31,0)),"Unknown")</f>
        <v>Diya Reddy</v>
      </c>
      <c r="D110" s="22" t="str">
        <f>IFERROR(INDEX(Customers!$D$2:$D$31,MATCH(B110,Customers!$A$2:$A$31,0)),"Unknown")</f>
        <v>East</v>
      </c>
      <c r="E110" s="22" t="s">
        <v>54</v>
      </c>
      <c r="F110" s="22" t="str">
        <f>IFERROR(INDEX(Products!$B$2:$B$31,MATCH(E110,Products!$A$2:$A$31,0)),"Unknown")</f>
        <v>Bluetooth Speaker</v>
      </c>
      <c r="G110" s="22" t="str">
        <f>IFERROR(INDEX(Products!$C$2:$C$31,MATCH(E110,Products!$A$2:$A$31,0)),"Unknown")</f>
        <v>Electronics</v>
      </c>
      <c r="H110" s="23">
        <v>45450</v>
      </c>
      <c r="I110" s="22">
        <f t="shared" si="8"/>
        <v>6</v>
      </c>
      <c r="J110" s="22" t="str">
        <f t="shared" si="9"/>
        <v>Jun</v>
      </c>
      <c r="K110" s="22" t="str">
        <f t="shared" si="10"/>
        <v>Q2</v>
      </c>
      <c r="L110" s="22">
        <v>8</v>
      </c>
      <c r="M110" s="24">
        <v>2671.62</v>
      </c>
      <c r="N110" s="25">
        <v>0</v>
      </c>
      <c r="O110" s="24">
        <f>IFERROR(INDEX(Products!$D$2:$D$31,MATCH(E110,Products!$A$2:$A$31,0)),0)</f>
        <v>2293.21</v>
      </c>
      <c r="P110" s="24">
        <f t="shared" si="11"/>
        <v>21372.959999999999</v>
      </c>
      <c r="Q110" s="24">
        <f t="shared" si="12"/>
        <v>3027.28</v>
      </c>
      <c r="R110" s="26">
        <f t="shared" si="13"/>
        <v>0.14164065248800356</v>
      </c>
      <c r="S110" s="22" t="str">
        <f t="shared" si="14"/>
        <v>Bulk</v>
      </c>
      <c r="T110" s="27" t="str">
        <f t="shared" si="15"/>
        <v>Low</v>
      </c>
    </row>
    <row r="111" spans="1:20" ht="14.25" customHeight="1" x14ac:dyDescent="0.3">
      <c r="A111" s="21" t="s">
        <v>219</v>
      </c>
      <c r="B111" s="22" t="s">
        <v>205</v>
      </c>
      <c r="C111" s="22" t="str">
        <f>IFERROR(INDEX(Customers!$B$2:$B$31,MATCH(B111,Customers!$A$2:$A$31,0)),"Unknown")</f>
        <v>Ayaan Kapoor</v>
      </c>
      <c r="D111" s="22" t="str">
        <f>IFERROR(INDEX(Customers!$D$2:$D$31,MATCH(B111,Customers!$A$2:$A$31,0)),"Unknown")</f>
        <v>South</v>
      </c>
      <c r="E111" s="22" t="s">
        <v>155</v>
      </c>
      <c r="F111" s="22" t="str">
        <f>IFERROR(INDEX(Products!$B$2:$B$31,MATCH(E111,Products!$A$2:$A$31,0)),"Unknown")</f>
        <v>Lipstick</v>
      </c>
      <c r="G111" s="22" t="str">
        <f>IFERROR(INDEX(Products!$C$2:$C$31,MATCH(E111,Products!$A$2:$A$31,0)),"Unknown")</f>
        <v>Beauty</v>
      </c>
      <c r="H111" s="23">
        <v>45452</v>
      </c>
      <c r="I111" s="22">
        <f t="shared" si="8"/>
        <v>6</v>
      </c>
      <c r="J111" s="22" t="str">
        <f t="shared" si="9"/>
        <v>Jun</v>
      </c>
      <c r="K111" s="22" t="str">
        <f t="shared" si="10"/>
        <v>Q2</v>
      </c>
      <c r="L111" s="22">
        <v>4</v>
      </c>
      <c r="M111" s="24">
        <v>1727.14</v>
      </c>
      <c r="N111" s="25">
        <v>0</v>
      </c>
      <c r="O111" s="24">
        <f>IFERROR(INDEX(Products!$D$2:$D$31,MATCH(E111,Products!$A$2:$A$31,0)),0)</f>
        <v>1360.46</v>
      </c>
      <c r="P111" s="24">
        <f t="shared" si="11"/>
        <v>6908.56</v>
      </c>
      <c r="Q111" s="24">
        <f t="shared" si="12"/>
        <v>1466.72</v>
      </c>
      <c r="R111" s="26">
        <f t="shared" si="13"/>
        <v>0.21230473499542596</v>
      </c>
      <c r="S111" s="22" t="str">
        <f t="shared" si="14"/>
        <v>Regular</v>
      </c>
      <c r="T111" s="27" t="str">
        <f t="shared" si="15"/>
        <v>Medium</v>
      </c>
    </row>
    <row r="112" spans="1:20" ht="14.25" customHeight="1" x14ac:dyDescent="0.3">
      <c r="A112" s="21" t="s">
        <v>220</v>
      </c>
      <c r="B112" s="22" t="s">
        <v>76</v>
      </c>
      <c r="C112" s="22" t="str">
        <f>IFERROR(INDEX(Customers!$B$2:$B$31,MATCH(B112,Customers!$A$2:$A$31,0)),"Unknown")</f>
        <v>Aisha Sharma</v>
      </c>
      <c r="D112" s="22" t="str">
        <f>IFERROR(INDEX(Customers!$D$2:$D$31,MATCH(B112,Customers!$A$2:$A$31,0)),"Unknown")</f>
        <v>Central</v>
      </c>
      <c r="E112" s="22" t="s">
        <v>86</v>
      </c>
      <c r="F112" s="22" t="str">
        <f>IFERROR(INDEX(Products!$B$2:$B$31,MATCH(E112,Products!$A$2:$A$31,0)),"Unknown")</f>
        <v>Electric Kettle</v>
      </c>
      <c r="G112" s="22" t="str">
        <f>IFERROR(INDEX(Products!$C$2:$C$31,MATCH(E112,Products!$A$2:$A$31,0)),"Unknown")</f>
        <v>Home &amp; Kitchen</v>
      </c>
      <c r="H112" s="23">
        <v>45452</v>
      </c>
      <c r="I112" s="22">
        <f t="shared" si="8"/>
        <v>6</v>
      </c>
      <c r="J112" s="22" t="str">
        <f t="shared" si="9"/>
        <v>Jun</v>
      </c>
      <c r="K112" s="22" t="str">
        <f t="shared" si="10"/>
        <v>Q2</v>
      </c>
      <c r="L112" s="22">
        <v>7</v>
      </c>
      <c r="M112" s="24">
        <v>3548.51</v>
      </c>
      <c r="N112" s="25">
        <v>0.1</v>
      </c>
      <c r="O112" s="24">
        <f>IFERROR(INDEX(Products!$D$2:$D$31,MATCH(E112,Products!$A$2:$A$31,0)),0)</f>
        <v>2494.04</v>
      </c>
      <c r="P112" s="24">
        <f t="shared" si="11"/>
        <v>22355.61</v>
      </c>
      <c r="Q112" s="24">
        <f t="shared" si="12"/>
        <v>4897.33</v>
      </c>
      <c r="R112" s="26">
        <f t="shared" si="13"/>
        <v>0.21906492374844613</v>
      </c>
      <c r="S112" s="22" t="str">
        <f t="shared" si="14"/>
        <v>Bulk</v>
      </c>
      <c r="T112" s="27" t="str">
        <f t="shared" si="15"/>
        <v>Medium</v>
      </c>
    </row>
    <row r="113" spans="1:20" ht="14.25" customHeight="1" x14ac:dyDescent="0.3">
      <c r="A113" s="21" t="s">
        <v>221</v>
      </c>
      <c r="B113" s="22" t="s">
        <v>112</v>
      </c>
      <c r="C113" s="22" t="str">
        <f>IFERROR(INDEX(Customers!$B$2:$B$31,MATCH(B113,Customers!$A$2:$A$31,0)),"Unknown")</f>
        <v>Ayaan Patel</v>
      </c>
      <c r="D113" s="22" t="str">
        <f>IFERROR(INDEX(Customers!$D$2:$D$31,MATCH(B113,Customers!$A$2:$A$31,0)),"Unknown")</f>
        <v>North</v>
      </c>
      <c r="E113" s="22" t="s">
        <v>117</v>
      </c>
      <c r="F113" s="22" t="str">
        <f>IFERROR(INDEX(Products!$B$2:$B$31,MATCH(E113,Products!$A$2:$A$31,0)),"Unknown")</f>
        <v>Face Wash</v>
      </c>
      <c r="G113" s="22" t="str">
        <f>IFERROR(INDEX(Products!$C$2:$C$31,MATCH(E113,Products!$A$2:$A$31,0)),"Unknown")</f>
        <v>Beauty</v>
      </c>
      <c r="H113" s="23">
        <v>45456</v>
      </c>
      <c r="I113" s="22">
        <f t="shared" si="8"/>
        <v>6</v>
      </c>
      <c r="J113" s="22" t="str">
        <f t="shared" si="9"/>
        <v>Jun</v>
      </c>
      <c r="K113" s="22" t="str">
        <f t="shared" si="10"/>
        <v>Q2</v>
      </c>
      <c r="L113" s="22">
        <v>8</v>
      </c>
      <c r="M113" s="24">
        <v>1353.55</v>
      </c>
      <c r="N113" s="25">
        <v>0.15</v>
      </c>
      <c r="O113" s="24">
        <f>IFERROR(INDEX(Products!$D$2:$D$31,MATCH(E113,Products!$A$2:$A$31,0)),0)</f>
        <v>1003.52</v>
      </c>
      <c r="P113" s="24">
        <f t="shared" si="11"/>
        <v>9204.14</v>
      </c>
      <c r="Q113" s="24">
        <f t="shared" si="12"/>
        <v>1175.98</v>
      </c>
      <c r="R113" s="26">
        <f t="shared" si="13"/>
        <v>0.12776641815530837</v>
      </c>
      <c r="S113" s="22" t="str">
        <f t="shared" si="14"/>
        <v>Bulk</v>
      </c>
      <c r="T113" s="27" t="str">
        <f t="shared" si="15"/>
        <v>Low</v>
      </c>
    </row>
    <row r="114" spans="1:20" ht="14.25" customHeight="1" x14ac:dyDescent="0.3">
      <c r="A114" s="21" t="s">
        <v>222</v>
      </c>
      <c r="B114" s="22" t="s">
        <v>168</v>
      </c>
      <c r="C114" s="22" t="str">
        <f>IFERROR(INDEX(Customers!$B$2:$B$31,MATCH(B114,Customers!$A$2:$A$31,0)),"Unknown")</f>
        <v>Neha Reddy</v>
      </c>
      <c r="D114" s="22" t="str">
        <f>IFERROR(INDEX(Customers!$D$2:$D$31,MATCH(B114,Customers!$A$2:$A$31,0)),"Unknown")</f>
        <v>North</v>
      </c>
      <c r="E114" s="22" t="s">
        <v>146</v>
      </c>
      <c r="F114" s="22" t="str">
        <f>IFERROR(INDEX(Products!$B$2:$B$31,MATCH(E114,Products!$A$2:$A$31,0)),"Unknown")</f>
        <v>Blender</v>
      </c>
      <c r="G114" s="22" t="str">
        <f>IFERROR(INDEX(Products!$C$2:$C$31,MATCH(E114,Products!$A$2:$A$31,0)),"Unknown")</f>
        <v>Home &amp; Kitchen</v>
      </c>
      <c r="H114" s="23">
        <v>45456</v>
      </c>
      <c r="I114" s="22">
        <f t="shared" si="8"/>
        <v>6</v>
      </c>
      <c r="J114" s="22" t="str">
        <f t="shared" si="9"/>
        <v>Jun</v>
      </c>
      <c r="K114" s="22" t="str">
        <f t="shared" si="10"/>
        <v>Q2</v>
      </c>
      <c r="L114" s="22">
        <v>4</v>
      </c>
      <c r="M114" s="24">
        <v>308.75</v>
      </c>
      <c r="N114" s="25">
        <v>0</v>
      </c>
      <c r="O114" s="24">
        <f>IFERROR(INDEX(Products!$D$2:$D$31,MATCH(E114,Products!$A$2:$A$31,0)),0)</f>
        <v>194.02</v>
      </c>
      <c r="P114" s="24">
        <f t="shared" si="11"/>
        <v>1235</v>
      </c>
      <c r="Q114" s="24">
        <f t="shared" si="12"/>
        <v>458.92</v>
      </c>
      <c r="R114" s="26">
        <f t="shared" si="13"/>
        <v>0.37159514170040486</v>
      </c>
      <c r="S114" s="22" t="str">
        <f t="shared" si="14"/>
        <v>Regular</v>
      </c>
      <c r="T114" s="27" t="str">
        <f t="shared" si="15"/>
        <v>High</v>
      </c>
    </row>
    <row r="115" spans="1:20" ht="14.25" customHeight="1" x14ac:dyDescent="0.3">
      <c r="A115" s="21" t="s">
        <v>223</v>
      </c>
      <c r="B115" s="22" t="s">
        <v>93</v>
      </c>
      <c r="C115" s="22" t="str">
        <f>IFERROR(INDEX(Customers!$B$2:$B$31,MATCH(B115,Customers!$A$2:$A$31,0)),"Unknown")</f>
        <v>Karan Kapoor</v>
      </c>
      <c r="D115" s="22" t="str">
        <f>IFERROR(INDEX(Customers!$D$2:$D$31,MATCH(B115,Customers!$A$2:$A$31,0)),"Unknown")</f>
        <v>South</v>
      </c>
      <c r="E115" s="22" t="s">
        <v>141</v>
      </c>
      <c r="F115" s="22" t="str">
        <f>IFERROR(INDEX(Products!$B$2:$B$31,MATCH(E115,Products!$A$2:$A$31,0)),"Unknown")</f>
        <v>Cook Book</v>
      </c>
      <c r="G115" s="22" t="str">
        <f>IFERROR(INDEX(Products!$C$2:$C$31,MATCH(E115,Products!$A$2:$A$31,0)),"Unknown")</f>
        <v>Books</v>
      </c>
      <c r="H115" s="23">
        <v>45459</v>
      </c>
      <c r="I115" s="22">
        <f t="shared" si="8"/>
        <v>6</v>
      </c>
      <c r="J115" s="22" t="str">
        <f t="shared" si="9"/>
        <v>Jun</v>
      </c>
      <c r="K115" s="22" t="str">
        <f t="shared" si="10"/>
        <v>Q2</v>
      </c>
      <c r="L115" s="22">
        <v>4</v>
      </c>
      <c r="M115" s="24">
        <v>2878.32</v>
      </c>
      <c r="N115" s="25">
        <v>0.15</v>
      </c>
      <c r="O115" s="24">
        <f>IFERROR(INDEX(Products!$D$2:$D$31,MATCH(E115,Products!$A$2:$A$31,0)),0)</f>
        <v>1996.83</v>
      </c>
      <c r="P115" s="24">
        <f t="shared" si="11"/>
        <v>9786.2900000000009</v>
      </c>
      <c r="Q115" s="24">
        <f t="shared" si="12"/>
        <v>1798.97</v>
      </c>
      <c r="R115" s="26">
        <f t="shared" si="13"/>
        <v>0.18382553551958913</v>
      </c>
      <c r="S115" s="22" t="str">
        <f t="shared" si="14"/>
        <v>Regular</v>
      </c>
      <c r="T115" s="27" t="str">
        <f t="shared" si="15"/>
        <v>Medium</v>
      </c>
    </row>
    <row r="116" spans="1:20" ht="14.25" customHeight="1" x14ac:dyDescent="0.3">
      <c r="A116" s="21" t="s">
        <v>224</v>
      </c>
      <c r="B116" s="22" t="s">
        <v>205</v>
      </c>
      <c r="C116" s="22" t="str">
        <f>IFERROR(INDEX(Customers!$B$2:$B$31,MATCH(B116,Customers!$A$2:$A$31,0)),"Unknown")</f>
        <v>Ayaan Kapoor</v>
      </c>
      <c r="D116" s="22" t="str">
        <f>IFERROR(INDEX(Customers!$D$2:$D$31,MATCH(B116,Customers!$A$2:$A$31,0)),"Unknown")</f>
        <v>South</v>
      </c>
      <c r="E116" s="22" t="s">
        <v>94</v>
      </c>
      <c r="F116" s="22" t="str">
        <f>IFERROR(INDEX(Products!$B$2:$B$31,MATCH(E116,Products!$A$2:$A$31,0)),"Unknown")</f>
        <v>Skipping Rope</v>
      </c>
      <c r="G116" s="22" t="str">
        <f>IFERROR(INDEX(Products!$C$2:$C$31,MATCH(E116,Products!$A$2:$A$31,0)),"Unknown")</f>
        <v>Sports</v>
      </c>
      <c r="H116" s="23">
        <v>45461</v>
      </c>
      <c r="I116" s="22">
        <f t="shared" si="8"/>
        <v>6</v>
      </c>
      <c r="J116" s="22" t="str">
        <f t="shared" si="9"/>
        <v>Jun</v>
      </c>
      <c r="K116" s="22" t="str">
        <f t="shared" si="10"/>
        <v>Q2</v>
      </c>
      <c r="L116" s="22">
        <v>6</v>
      </c>
      <c r="M116" s="24">
        <v>1051.22</v>
      </c>
      <c r="N116" s="25">
        <v>0</v>
      </c>
      <c r="O116" s="24">
        <f>IFERROR(INDEX(Products!$D$2:$D$31,MATCH(E116,Products!$A$2:$A$31,0)),0)</f>
        <v>725.72</v>
      </c>
      <c r="P116" s="24">
        <f t="shared" si="11"/>
        <v>6307.32</v>
      </c>
      <c r="Q116" s="24">
        <f t="shared" si="12"/>
        <v>1953</v>
      </c>
      <c r="R116" s="26">
        <f t="shared" si="13"/>
        <v>0.30964022754513804</v>
      </c>
      <c r="S116" s="22" t="str">
        <f t="shared" si="14"/>
        <v>Bulk</v>
      </c>
      <c r="T116" s="27" t="str">
        <f t="shared" si="15"/>
        <v>High</v>
      </c>
    </row>
    <row r="117" spans="1:20" ht="14.25" customHeight="1" x14ac:dyDescent="0.3">
      <c r="A117" s="21" t="s">
        <v>225</v>
      </c>
      <c r="B117" s="22" t="s">
        <v>158</v>
      </c>
      <c r="C117" s="22" t="str">
        <f>IFERROR(INDEX(Customers!$B$2:$B$31,MATCH(B117,Customers!$A$2:$A$31,0)),"Unknown")</f>
        <v>Kiara Khan</v>
      </c>
      <c r="D117" s="22" t="str">
        <f>IFERROR(INDEX(Customers!$D$2:$D$31,MATCH(B117,Customers!$A$2:$A$31,0)),"Unknown")</f>
        <v>Central</v>
      </c>
      <c r="E117" s="22" t="s">
        <v>120</v>
      </c>
      <c r="F117" s="22" t="str">
        <f>IFERROR(INDEX(Products!$B$2:$B$31,MATCH(E117,Products!$A$2:$A$31,0)),"Unknown")</f>
        <v>Kids Story Book</v>
      </c>
      <c r="G117" s="22" t="str">
        <f>IFERROR(INDEX(Products!$C$2:$C$31,MATCH(E117,Products!$A$2:$A$31,0)),"Unknown")</f>
        <v>Books</v>
      </c>
      <c r="H117" s="23">
        <v>45461</v>
      </c>
      <c r="I117" s="22">
        <f t="shared" si="8"/>
        <v>6</v>
      </c>
      <c r="J117" s="22" t="str">
        <f t="shared" si="9"/>
        <v>Jun</v>
      </c>
      <c r="K117" s="22" t="str">
        <f t="shared" si="10"/>
        <v>Q2</v>
      </c>
      <c r="L117" s="22">
        <v>2</v>
      </c>
      <c r="M117" s="24">
        <v>1700.24</v>
      </c>
      <c r="N117" s="25">
        <v>0.05</v>
      </c>
      <c r="O117" s="24">
        <f>IFERROR(INDEX(Products!$D$2:$D$31,MATCH(E117,Products!$A$2:$A$31,0)),0)</f>
        <v>1101.6300000000001</v>
      </c>
      <c r="P117" s="24">
        <f t="shared" si="11"/>
        <v>3230.46</v>
      </c>
      <c r="Q117" s="24">
        <f t="shared" si="12"/>
        <v>1027.2</v>
      </c>
      <c r="R117" s="26">
        <f t="shared" si="13"/>
        <v>0.31797329172935124</v>
      </c>
      <c r="S117" s="22" t="str">
        <f t="shared" si="14"/>
        <v>Regular</v>
      </c>
      <c r="T117" s="27" t="str">
        <f t="shared" si="15"/>
        <v>High</v>
      </c>
    </row>
    <row r="118" spans="1:20" ht="14.25" customHeight="1" x14ac:dyDescent="0.3">
      <c r="A118" s="21" t="s">
        <v>226</v>
      </c>
      <c r="B118" s="22" t="s">
        <v>227</v>
      </c>
      <c r="C118" s="22" t="str">
        <f>IFERROR(INDEX(Customers!$B$2:$B$31,MATCH(B118,Customers!$A$2:$A$31,0)),"Unknown")</f>
        <v>Aditya Iyer</v>
      </c>
      <c r="D118" s="22" t="str">
        <f>IFERROR(INDEX(Customers!$D$2:$D$31,MATCH(B118,Customers!$A$2:$A$31,0)),"Unknown")</f>
        <v>East</v>
      </c>
      <c r="E118" s="22" t="s">
        <v>105</v>
      </c>
      <c r="F118" s="22" t="str">
        <f>IFERROR(INDEX(Products!$B$2:$B$31,MATCH(E118,Products!$A$2:$A$31,0)),"Unknown")</f>
        <v>LED Table Lamp</v>
      </c>
      <c r="G118" s="22" t="str">
        <f>IFERROR(INDEX(Products!$C$2:$C$31,MATCH(E118,Products!$A$2:$A$31,0)),"Unknown")</f>
        <v>Home &amp; Kitchen</v>
      </c>
      <c r="H118" s="23">
        <v>45462</v>
      </c>
      <c r="I118" s="22">
        <f t="shared" si="8"/>
        <v>6</v>
      </c>
      <c r="J118" s="22" t="str">
        <f t="shared" si="9"/>
        <v>Jun</v>
      </c>
      <c r="K118" s="22" t="str">
        <f t="shared" si="10"/>
        <v>Q2</v>
      </c>
      <c r="L118" s="22">
        <v>6</v>
      </c>
      <c r="M118" s="24">
        <v>435.47</v>
      </c>
      <c r="N118" s="25">
        <v>0.2</v>
      </c>
      <c r="O118" s="24">
        <f>IFERROR(INDEX(Products!$D$2:$D$31,MATCH(E118,Products!$A$2:$A$31,0)),0)</f>
        <v>300</v>
      </c>
      <c r="P118" s="24">
        <f t="shared" si="11"/>
        <v>2090.2600000000002</v>
      </c>
      <c r="Q118" s="24">
        <f t="shared" si="12"/>
        <v>290.26</v>
      </c>
      <c r="R118" s="26">
        <f t="shared" si="13"/>
        <v>0.13886310793872531</v>
      </c>
      <c r="S118" s="22" t="str">
        <f t="shared" si="14"/>
        <v>Bulk</v>
      </c>
      <c r="T118" s="27" t="str">
        <f t="shared" si="15"/>
        <v>Low</v>
      </c>
    </row>
    <row r="119" spans="1:20" ht="14.25" customHeight="1" x14ac:dyDescent="0.3">
      <c r="A119" s="21" t="s">
        <v>228</v>
      </c>
      <c r="B119" s="22" t="s">
        <v>123</v>
      </c>
      <c r="C119" s="22" t="str">
        <f>IFERROR(INDEX(Customers!$B$2:$B$31,MATCH(B119,Customers!$A$2:$A$31,0)),"Unknown")</f>
        <v>Kabir Gupta</v>
      </c>
      <c r="D119" s="22" t="str">
        <f>IFERROR(INDEX(Customers!$D$2:$D$31,MATCH(B119,Customers!$A$2:$A$31,0)),"Unknown")</f>
        <v>Central</v>
      </c>
      <c r="E119" s="22" t="s">
        <v>172</v>
      </c>
      <c r="F119" s="22" t="str">
        <f>IFERROR(INDEX(Products!$B$2:$B$31,MATCH(E119,Products!$A$2:$A$31,0)),"Unknown")</f>
        <v>Football</v>
      </c>
      <c r="G119" s="22" t="str">
        <f>IFERROR(INDEX(Products!$C$2:$C$31,MATCH(E119,Products!$A$2:$A$31,0)),"Unknown")</f>
        <v>Sports</v>
      </c>
      <c r="H119" s="23">
        <v>45465</v>
      </c>
      <c r="I119" s="22">
        <f t="shared" si="8"/>
        <v>6</v>
      </c>
      <c r="J119" s="22" t="str">
        <f t="shared" si="9"/>
        <v>Jun</v>
      </c>
      <c r="K119" s="22" t="str">
        <f t="shared" si="10"/>
        <v>Q2</v>
      </c>
      <c r="L119" s="22">
        <v>2</v>
      </c>
      <c r="M119" s="24">
        <v>2353.7399999999998</v>
      </c>
      <c r="N119" s="25">
        <v>0</v>
      </c>
      <c r="O119" s="24">
        <f>IFERROR(INDEX(Products!$D$2:$D$31,MATCH(E119,Products!$A$2:$A$31,0)),0)</f>
        <v>1729.74</v>
      </c>
      <c r="P119" s="24">
        <f t="shared" si="11"/>
        <v>4707.4799999999996</v>
      </c>
      <c r="Q119" s="24">
        <f t="shared" si="12"/>
        <v>1248</v>
      </c>
      <c r="R119" s="26">
        <f t="shared" si="13"/>
        <v>0.26510999515664435</v>
      </c>
      <c r="S119" s="22" t="str">
        <f t="shared" si="14"/>
        <v>Regular</v>
      </c>
      <c r="T119" s="27" t="str">
        <f t="shared" si="15"/>
        <v>Medium</v>
      </c>
    </row>
    <row r="120" spans="1:20" ht="14.25" customHeight="1" x14ac:dyDescent="0.3">
      <c r="A120" s="21" t="s">
        <v>229</v>
      </c>
      <c r="B120" s="22" t="s">
        <v>90</v>
      </c>
      <c r="C120" s="22" t="str">
        <f>IFERROR(INDEX(Customers!$B$2:$B$31,MATCH(B120,Customers!$A$2:$A$31,0)),"Unknown")</f>
        <v>Ayaan Chatterjee</v>
      </c>
      <c r="D120" s="22" t="str">
        <f>IFERROR(INDEX(Customers!$D$2:$D$31,MATCH(B120,Customers!$A$2:$A$31,0)),"Unknown")</f>
        <v>West</v>
      </c>
      <c r="E120" s="22" t="s">
        <v>177</v>
      </c>
      <c r="F120" s="22" t="str">
        <f>IFERROR(INDEX(Products!$B$2:$B$31,MATCH(E120,Products!$A$2:$A$31,0)),"Unknown")</f>
        <v>Sports Shorts</v>
      </c>
      <c r="G120" s="22" t="str">
        <f>IFERROR(INDEX(Products!$C$2:$C$31,MATCH(E120,Products!$A$2:$A$31,0)),"Unknown")</f>
        <v>Apparel</v>
      </c>
      <c r="H120" s="23">
        <v>45465</v>
      </c>
      <c r="I120" s="22">
        <f t="shared" si="8"/>
        <v>6</v>
      </c>
      <c r="J120" s="22" t="str">
        <f t="shared" si="9"/>
        <v>Jun</v>
      </c>
      <c r="K120" s="22" t="str">
        <f t="shared" si="10"/>
        <v>Q2</v>
      </c>
      <c r="L120" s="22">
        <v>6</v>
      </c>
      <c r="M120" s="24">
        <v>1206.4100000000001</v>
      </c>
      <c r="N120" s="25">
        <v>0.2</v>
      </c>
      <c r="O120" s="24">
        <f>IFERROR(INDEX(Products!$D$2:$D$31,MATCH(E120,Products!$A$2:$A$31,0)),0)</f>
        <v>1046.55</v>
      </c>
      <c r="P120" s="24">
        <f t="shared" si="11"/>
        <v>5790.77</v>
      </c>
      <c r="Q120" s="24">
        <f t="shared" si="12"/>
        <v>-488.53</v>
      </c>
      <c r="R120" s="26">
        <f t="shared" si="13"/>
        <v>-8.4363564776359604E-2</v>
      </c>
      <c r="S120" s="22" t="str">
        <f t="shared" si="14"/>
        <v>Bulk</v>
      </c>
      <c r="T120" s="27" t="str">
        <f t="shared" si="15"/>
        <v>Low</v>
      </c>
    </row>
    <row r="121" spans="1:20" ht="14.25" customHeight="1" x14ac:dyDescent="0.3">
      <c r="A121" s="21" t="s">
        <v>230</v>
      </c>
      <c r="B121" s="22" t="s">
        <v>158</v>
      </c>
      <c r="C121" s="22" t="str">
        <f>IFERROR(INDEX(Customers!$B$2:$B$31,MATCH(B121,Customers!$A$2:$A$31,0)),"Unknown")</f>
        <v>Kiara Khan</v>
      </c>
      <c r="D121" s="22" t="str">
        <f>IFERROR(INDEX(Customers!$D$2:$D$31,MATCH(B121,Customers!$A$2:$A$31,0)),"Unknown")</f>
        <v>Central</v>
      </c>
      <c r="E121" s="22" t="s">
        <v>117</v>
      </c>
      <c r="F121" s="22" t="str">
        <f>IFERROR(INDEX(Products!$B$2:$B$31,MATCH(E121,Products!$A$2:$A$31,0)),"Unknown")</f>
        <v>Face Wash</v>
      </c>
      <c r="G121" s="22" t="str">
        <f>IFERROR(INDEX(Products!$C$2:$C$31,MATCH(E121,Products!$A$2:$A$31,0)),"Unknown")</f>
        <v>Beauty</v>
      </c>
      <c r="H121" s="23">
        <v>45466</v>
      </c>
      <c r="I121" s="22">
        <f t="shared" si="8"/>
        <v>6</v>
      </c>
      <c r="J121" s="22" t="str">
        <f t="shared" si="9"/>
        <v>Jun</v>
      </c>
      <c r="K121" s="22" t="str">
        <f t="shared" si="10"/>
        <v>Q2</v>
      </c>
      <c r="L121" s="22">
        <v>1</v>
      </c>
      <c r="M121" s="24">
        <v>1537.7</v>
      </c>
      <c r="N121" s="25">
        <v>0.2</v>
      </c>
      <c r="O121" s="24">
        <f>IFERROR(INDEX(Products!$D$2:$D$31,MATCH(E121,Products!$A$2:$A$31,0)),0)</f>
        <v>1003.52</v>
      </c>
      <c r="P121" s="24">
        <f t="shared" si="11"/>
        <v>1230.1600000000001</v>
      </c>
      <c r="Q121" s="24">
        <f t="shared" si="12"/>
        <v>226.64</v>
      </c>
      <c r="R121" s="26">
        <f t="shared" si="13"/>
        <v>0.18423619691747412</v>
      </c>
      <c r="S121" s="22" t="str">
        <f t="shared" si="14"/>
        <v>Regular</v>
      </c>
      <c r="T121" s="27" t="str">
        <f t="shared" si="15"/>
        <v>Medium</v>
      </c>
    </row>
    <row r="122" spans="1:20" ht="14.25" customHeight="1" x14ac:dyDescent="0.3">
      <c r="A122" s="21" t="s">
        <v>231</v>
      </c>
      <c r="B122" s="22" t="s">
        <v>101</v>
      </c>
      <c r="C122" s="22" t="str">
        <f>IFERROR(INDEX(Customers!$B$2:$B$31,MATCH(B122,Customers!$A$2:$A$31,0)),"Unknown")</f>
        <v>Ayaan Verma</v>
      </c>
      <c r="D122" s="22" t="str">
        <f>IFERROR(INDEX(Customers!$D$2:$D$31,MATCH(B122,Customers!$A$2:$A$31,0)),"Unknown")</f>
        <v>East</v>
      </c>
      <c r="E122" s="22" t="s">
        <v>105</v>
      </c>
      <c r="F122" s="22" t="str">
        <f>IFERROR(INDEX(Products!$B$2:$B$31,MATCH(E122,Products!$A$2:$A$31,0)),"Unknown")</f>
        <v>LED Table Lamp</v>
      </c>
      <c r="G122" s="22" t="str">
        <f>IFERROR(INDEX(Products!$C$2:$C$31,MATCH(E122,Products!$A$2:$A$31,0)),"Unknown")</f>
        <v>Home &amp; Kitchen</v>
      </c>
      <c r="H122" s="23">
        <v>45466</v>
      </c>
      <c r="I122" s="22">
        <f t="shared" si="8"/>
        <v>6</v>
      </c>
      <c r="J122" s="22" t="str">
        <f t="shared" si="9"/>
        <v>Jun</v>
      </c>
      <c r="K122" s="22" t="str">
        <f t="shared" si="10"/>
        <v>Q2</v>
      </c>
      <c r="L122" s="22">
        <v>5</v>
      </c>
      <c r="M122" s="24">
        <v>455.77</v>
      </c>
      <c r="N122" s="25">
        <v>0</v>
      </c>
      <c r="O122" s="24">
        <f>IFERROR(INDEX(Products!$D$2:$D$31,MATCH(E122,Products!$A$2:$A$31,0)),0)</f>
        <v>300</v>
      </c>
      <c r="P122" s="24">
        <f t="shared" si="11"/>
        <v>2278.85</v>
      </c>
      <c r="Q122" s="24">
        <f t="shared" si="12"/>
        <v>778.85</v>
      </c>
      <c r="R122" s="26">
        <f t="shared" si="13"/>
        <v>0.3417732628299362</v>
      </c>
      <c r="S122" s="22" t="str">
        <f t="shared" si="14"/>
        <v>Bulk</v>
      </c>
      <c r="T122" s="27" t="str">
        <f t="shared" si="15"/>
        <v>High</v>
      </c>
    </row>
    <row r="123" spans="1:20" ht="14.25" customHeight="1" x14ac:dyDescent="0.3">
      <c r="A123" s="21" t="s">
        <v>232</v>
      </c>
      <c r="B123" s="22" t="s">
        <v>88</v>
      </c>
      <c r="C123" s="22" t="str">
        <f>IFERROR(INDEX(Customers!$B$2:$B$31,MATCH(B123,Customers!$A$2:$A$31,0)),"Unknown")</f>
        <v>Zara Khan</v>
      </c>
      <c r="D123" s="22" t="str">
        <f>IFERROR(INDEX(Customers!$D$2:$D$31,MATCH(B123,Customers!$A$2:$A$31,0)),"Unknown")</f>
        <v>North</v>
      </c>
      <c r="E123" s="22" t="s">
        <v>77</v>
      </c>
      <c r="F123" s="22" t="str">
        <f>IFERROR(INDEX(Products!$B$2:$B$31,MATCH(E123,Products!$A$2:$A$31,0)),"Unknown")</f>
        <v>Fiction Novel</v>
      </c>
      <c r="G123" s="22" t="str">
        <f>IFERROR(INDEX(Products!$C$2:$C$31,MATCH(E123,Products!$A$2:$A$31,0)),"Unknown")</f>
        <v>Books</v>
      </c>
      <c r="H123" s="23">
        <v>45468</v>
      </c>
      <c r="I123" s="22">
        <f t="shared" si="8"/>
        <v>6</v>
      </c>
      <c r="J123" s="22" t="str">
        <f t="shared" si="9"/>
        <v>Jun</v>
      </c>
      <c r="K123" s="22" t="str">
        <f t="shared" si="10"/>
        <v>Q2</v>
      </c>
      <c r="L123" s="22">
        <v>6</v>
      </c>
      <c r="M123" s="24">
        <v>482.92</v>
      </c>
      <c r="N123" s="25">
        <v>0.1</v>
      </c>
      <c r="O123" s="24">
        <f>IFERROR(INDEX(Products!$D$2:$D$31,MATCH(E123,Products!$A$2:$A$31,0)),0)</f>
        <v>345.35</v>
      </c>
      <c r="P123" s="24">
        <f t="shared" si="11"/>
        <v>2607.77</v>
      </c>
      <c r="Q123" s="24">
        <f t="shared" si="12"/>
        <v>535.66999999999996</v>
      </c>
      <c r="R123" s="26">
        <f t="shared" si="13"/>
        <v>0.20541305406535085</v>
      </c>
      <c r="S123" s="22" t="str">
        <f t="shared" si="14"/>
        <v>Bulk</v>
      </c>
      <c r="T123" s="27" t="str">
        <f t="shared" si="15"/>
        <v>Medium</v>
      </c>
    </row>
    <row r="124" spans="1:20" ht="14.25" customHeight="1" x14ac:dyDescent="0.3">
      <c r="A124" s="21" t="s">
        <v>233</v>
      </c>
      <c r="B124" s="22" t="s">
        <v>129</v>
      </c>
      <c r="C124" s="22" t="str">
        <f>IFERROR(INDEX(Customers!$B$2:$B$31,MATCH(B124,Customers!$A$2:$A$31,0)),"Unknown")</f>
        <v>Sana Chatterjee</v>
      </c>
      <c r="D124" s="22" t="str">
        <f>IFERROR(INDEX(Customers!$D$2:$D$31,MATCH(B124,Customers!$A$2:$A$31,0)),"Unknown")</f>
        <v>North</v>
      </c>
      <c r="E124" s="22" t="s">
        <v>146</v>
      </c>
      <c r="F124" s="22" t="str">
        <f>IFERROR(INDEX(Products!$B$2:$B$31,MATCH(E124,Products!$A$2:$A$31,0)),"Unknown")</f>
        <v>Blender</v>
      </c>
      <c r="G124" s="22" t="str">
        <f>IFERROR(INDEX(Products!$C$2:$C$31,MATCH(E124,Products!$A$2:$A$31,0)),"Unknown")</f>
        <v>Home &amp; Kitchen</v>
      </c>
      <c r="H124" s="23">
        <v>45468</v>
      </c>
      <c r="I124" s="22">
        <f t="shared" si="8"/>
        <v>6</v>
      </c>
      <c r="J124" s="22" t="str">
        <f t="shared" si="9"/>
        <v>Jun</v>
      </c>
      <c r="K124" s="22" t="str">
        <f t="shared" si="10"/>
        <v>Q2</v>
      </c>
      <c r="L124" s="22">
        <v>5</v>
      </c>
      <c r="M124" s="24">
        <v>278.91000000000003</v>
      </c>
      <c r="N124" s="25">
        <v>0.05</v>
      </c>
      <c r="O124" s="24">
        <f>IFERROR(INDEX(Products!$D$2:$D$31,MATCH(E124,Products!$A$2:$A$31,0)),0)</f>
        <v>194.02</v>
      </c>
      <c r="P124" s="24">
        <f t="shared" si="11"/>
        <v>1324.82</v>
      </c>
      <c r="Q124" s="24">
        <f t="shared" si="12"/>
        <v>354.72</v>
      </c>
      <c r="R124" s="26">
        <f t="shared" si="13"/>
        <v>0.26774958107516494</v>
      </c>
      <c r="S124" s="22" t="str">
        <f t="shared" si="14"/>
        <v>Bulk</v>
      </c>
      <c r="T124" s="27" t="str">
        <f t="shared" si="15"/>
        <v>Medium</v>
      </c>
    </row>
    <row r="125" spans="1:20" ht="14.25" customHeight="1" x14ac:dyDescent="0.3">
      <c r="A125" s="21" t="s">
        <v>234</v>
      </c>
      <c r="B125" s="22" t="s">
        <v>161</v>
      </c>
      <c r="C125" s="22" t="str">
        <f>IFERROR(INDEX(Customers!$B$2:$B$31,MATCH(B125,Customers!$A$2:$A$31,0)),"Unknown")</f>
        <v>Zara Reddy</v>
      </c>
      <c r="D125" s="22" t="str">
        <f>IFERROR(INDEX(Customers!$D$2:$D$31,MATCH(B125,Customers!$A$2:$A$31,0)),"Unknown")</f>
        <v>Central</v>
      </c>
      <c r="E125" s="22" t="s">
        <v>54</v>
      </c>
      <c r="F125" s="22" t="str">
        <f>IFERROR(INDEX(Products!$B$2:$B$31,MATCH(E125,Products!$A$2:$A$31,0)),"Unknown")</f>
        <v>Bluetooth Speaker</v>
      </c>
      <c r="G125" s="22" t="str">
        <f>IFERROR(INDEX(Products!$C$2:$C$31,MATCH(E125,Products!$A$2:$A$31,0)),"Unknown")</f>
        <v>Electronics</v>
      </c>
      <c r="H125" s="23">
        <v>45469</v>
      </c>
      <c r="I125" s="22">
        <f t="shared" si="8"/>
        <v>6</v>
      </c>
      <c r="J125" s="22" t="str">
        <f t="shared" si="9"/>
        <v>Jun</v>
      </c>
      <c r="K125" s="22" t="str">
        <f t="shared" si="10"/>
        <v>Q2</v>
      </c>
      <c r="L125" s="22">
        <v>7</v>
      </c>
      <c r="M125" s="24">
        <v>3319.84</v>
      </c>
      <c r="N125" s="25">
        <v>0</v>
      </c>
      <c r="O125" s="24">
        <f>IFERROR(INDEX(Products!$D$2:$D$31,MATCH(E125,Products!$A$2:$A$31,0)),0)</f>
        <v>2293.21</v>
      </c>
      <c r="P125" s="24">
        <f t="shared" si="11"/>
        <v>23238.880000000001</v>
      </c>
      <c r="Q125" s="24">
        <f t="shared" si="12"/>
        <v>7186.41</v>
      </c>
      <c r="R125" s="26">
        <f t="shared" si="13"/>
        <v>0.30924080678586918</v>
      </c>
      <c r="S125" s="22" t="str">
        <f t="shared" si="14"/>
        <v>Bulk</v>
      </c>
      <c r="T125" s="27" t="str">
        <f t="shared" si="15"/>
        <v>High</v>
      </c>
    </row>
    <row r="126" spans="1:20" ht="14.25" customHeight="1" x14ac:dyDescent="0.3">
      <c r="A126" s="21" t="s">
        <v>235</v>
      </c>
      <c r="B126" s="22" t="s">
        <v>205</v>
      </c>
      <c r="C126" s="22" t="str">
        <f>IFERROR(INDEX(Customers!$B$2:$B$31,MATCH(B126,Customers!$A$2:$A$31,0)),"Unknown")</f>
        <v>Ayaan Kapoor</v>
      </c>
      <c r="D126" s="22" t="str">
        <f>IFERROR(INDEX(Customers!$D$2:$D$31,MATCH(B126,Customers!$A$2:$A$31,0)),"Unknown")</f>
        <v>South</v>
      </c>
      <c r="E126" s="22" t="s">
        <v>63</v>
      </c>
      <c r="F126" s="22" t="str">
        <f>IFERROR(INDEX(Products!$B$2:$B$31,MATCH(E126,Products!$A$2:$A$31,0)),"Unknown")</f>
        <v>Power Bank</v>
      </c>
      <c r="G126" s="22" t="str">
        <f>IFERROR(INDEX(Products!$C$2:$C$31,MATCH(E126,Products!$A$2:$A$31,0)),"Unknown")</f>
        <v>Electronics</v>
      </c>
      <c r="H126" s="23">
        <v>45473</v>
      </c>
      <c r="I126" s="22">
        <f t="shared" si="8"/>
        <v>6</v>
      </c>
      <c r="J126" s="22" t="str">
        <f t="shared" si="9"/>
        <v>Jun</v>
      </c>
      <c r="K126" s="22" t="str">
        <f t="shared" si="10"/>
        <v>Q2</v>
      </c>
      <c r="L126" s="22">
        <v>7</v>
      </c>
      <c r="M126" s="24">
        <v>1145.1300000000001</v>
      </c>
      <c r="N126" s="25">
        <v>0.15</v>
      </c>
      <c r="O126" s="24">
        <f>IFERROR(INDEX(Products!$D$2:$D$31,MATCH(E126,Products!$A$2:$A$31,0)),0)</f>
        <v>721.01</v>
      </c>
      <c r="P126" s="24">
        <f t="shared" si="11"/>
        <v>6813.52</v>
      </c>
      <c r="Q126" s="24">
        <f t="shared" si="12"/>
        <v>1766.45</v>
      </c>
      <c r="R126" s="26">
        <f t="shared" si="13"/>
        <v>0.25925659570970655</v>
      </c>
      <c r="S126" s="22" t="str">
        <f t="shared" si="14"/>
        <v>Bulk</v>
      </c>
      <c r="T126" s="27" t="str">
        <f t="shared" si="15"/>
        <v>Medium</v>
      </c>
    </row>
    <row r="127" spans="1:20" ht="14.25" customHeight="1" x14ac:dyDescent="0.3">
      <c r="A127" s="21" t="s">
        <v>236</v>
      </c>
      <c r="B127" s="22" t="s">
        <v>65</v>
      </c>
      <c r="C127" s="22" t="str">
        <f>IFERROR(INDEX(Customers!$B$2:$B$31,MATCH(B127,Customers!$A$2:$A$31,0)),"Unknown")</f>
        <v>Sana Singh</v>
      </c>
      <c r="D127" s="22" t="str">
        <f>IFERROR(INDEX(Customers!$D$2:$D$31,MATCH(B127,Customers!$A$2:$A$31,0)),"Unknown")</f>
        <v>North</v>
      </c>
      <c r="E127" s="22" t="s">
        <v>63</v>
      </c>
      <c r="F127" s="22" t="str">
        <f>IFERROR(INDEX(Products!$B$2:$B$31,MATCH(E127,Products!$A$2:$A$31,0)),"Unknown")</f>
        <v>Power Bank</v>
      </c>
      <c r="G127" s="22" t="str">
        <f>IFERROR(INDEX(Products!$C$2:$C$31,MATCH(E127,Products!$A$2:$A$31,0)),"Unknown")</f>
        <v>Electronics</v>
      </c>
      <c r="H127" s="23">
        <v>45477</v>
      </c>
      <c r="I127" s="22">
        <f t="shared" si="8"/>
        <v>7</v>
      </c>
      <c r="J127" s="22" t="str">
        <f t="shared" si="9"/>
        <v>Jul</v>
      </c>
      <c r="K127" s="22" t="str">
        <f t="shared" si="10"/>
        <v>Q3</v>
      </c>
      <c r="L127" s="22">
        <v>5</v>
      </c>
      <c r="M127" s="24">
        <v>906.85</v>
      </c>
      <c r="N127" s="25">
        <v>0</v>
      </c>
      <c r="O127" s="24">
        <f>IFERROR(INDEX(Products!$D$2:$D$31,MATCH(E127,Products!$A$2:$A$31,0)),0)</f>
        <v>721.01</v>
      </c>
      <c r="P127" s="24">
        <f t="shared" si="11"/>
        <v>4534.25</v>
      </c>
      <c r="Q127" s="24">
        <f t="shared" si="12"/>
        <v>929.2</v>
      </c>
      <c r="R127" s="26">
        <f t="shared" si="13"/>
        <v>0.20492915035562662</v>
      </c>
      <c r="S127" s="22" t="str">
        <f t="shared" si="14"/>
        <v>Bulk</v>
      </c>
      <c r="T127" s="27" t="str">
        <f t="shared" si="15"/>
        <v>Medium</v>
      </c>
    </row>
    <row r="128" spans="1:20" ht="14.25" customHeight="1" x14ac:dyDescent="0.3">
      <c r="A128" s="21" t="s">
        <v>237</v>
      </c>
      <c r="B128" s="22" t="s">
        <v>116</v>
      </c>
      <c r="C128" s="22" t="str">
        <f>IFERROR(INDEX(Customers!$B$2:$B$31,MATCH(B128,Customers!$A$2:$A$31,0)),"Unknown")</f>
        <v>Kabir Patel</v>
      </c>
      <c r="D128" s="22" t="str">
        <f>IFERROR(INDEX(Customers!$D$2:$D$31,MATCH(B128,Customers!$A$2:$A$31,0)),"Unknown")</f>
        <v>Central</v>
      </c>
      <c r="E128" s="22" t="s">
        <v>172</v>
      </c>
      <c r="F128" s="22" t="str">
        <f>IFERROR(INDEX(Products!$B$2:$B$31,MATCH(E128,Products!$A$2:$A$31,0)),"Unknown")</f>
        <v>Football</v>
      </c>
      <c r="G128" s="22" t="str">
        <f>IFERROR(INDEX(Products!$C$2:$C$31,MATCH(E128,Products!$A$2:$A$31,0)),"Unknown")</f>
        <v>Sports</v>
      </c>
      <c r="H128" s="23">
        <v>45477</v>
      </c>
      <c r="I128" s="22">
        <f t="shared" si="8"/>
        <v>7</v>
      </c>
      <c r="J128" s="22" t="str">
        <f t="shared" si="9"/>
        <v>Jul</v>
      </c>
      <c r="K128" s="22" t="str">
        <f t="shared" si="10"/>
        <v>Q3</v>
      </c>
      <c r="L128" s="22">
        <v>2</v>
      </c>
      <c r="M128" s="24">
        <v>2752.74</v>
      </c>
      <c r="N128" s="25">
        <v>0</v>
      </c>
      <c r="O128" s="24">
        <f>IFERROR(INDEX(Products!$D$2:$D$31,MATCH(E128,Products!$A$2:$A$31,0)),0)</f>
        <v>1729.74</v>
      </c>
      <c r="P128" s="24">
        <f t="shared" si="11"/>
        <v>5505.48</v>
      </c>
      <c r="Q128" s="24">
        <f t="shared" si="12"/>
        <v>2046</v>
      </c>
      <c r="R128" s="26">
        <f t="shared" si="13"/>
        <v>0.37162972165914693</v>
      </c>
      <c r="S128" s="22" t="str">
        <f t="shared" si="14"/>
        <v>Regular</v>
      </c>
      <c r="T128" s="27" t="str">
        <f t="shared" si="15"/>
        <v>High</v>
      </c>
    </row>
    <row r="129" spans="1:20" ht="14.25" customHeight="1" x14ac:dyDescent="0.3">
      <c r="A129" s="21" t="s">
        <v>238</v>
      </c>
      <c r="B129" s="22" t="s">
        <v>104</v>
      </c>
      <c r="C129" s="22" t="str">
        <f>IFERROR(INDEX(Customers!$B$2:$B$31,MATCH(B129,Customers!$A$2:$A$31,0)),"Unknown")</f>
        <v>Ishaan Chatterjee</v>
      </c>
      <c r="D129" s="22" t="str">
        <f>IFERROR(INDEX(Customers!$D$2:$D$31,MATCH(B129,Customers!$A$2:$A$31,0)),"Unknown")</f>
        <v>West</v>
      </c>
      <c r="E129" s="22" t="s">
        <v>131</v>
      </c>
      <c r="F129" s="22" t="str">
        <f>IFERROR(INDEX(Products!$B$2:$B$31,MATCH(E129,Products!$A$2:$A$31,0)),"Unknown")</f>
        <v>Sunscreen</v>
      </c>
      <c r="G129" s="22" t="str">
        <f>IFERROR(INDEX(Products!$C$2:$C$31,MATCH(E129,Products!$A$2:$A$31,0)),"Unknown")</f>
        <v>Beauty</v>
      </c>
      <c r="H129" s="23">
        <v>45477</v>
      </c>
      <c r="I129" s="22">
        <f t="shared" si="8"/>
        <v>7</v>
      </c>
      <c r="J129" s="22" t="str">
        <f t="shared" si="9"/>
        <v>Jul</v>
      </c>
      <c r="K129" s="22" t="str">
        <f t="shared" si="10"/>
        <v>Q3</v>
      </c>
      <c r="L129" s="22">
        <v>2</v>
      </c>
      <c r="M129" s="24">
        <v>2927.53</v>
      </c>
      <c r="N129" s="25">
        <v>0</v>
      </c>
      <c r="O129" s="24">
        <f>IFERROR(INDEX(Products!$D$2:$D$31,MATCH(E129,Products!$A$2:$A$31,0)),0)</f>
        <v>2163.09</v>
      </c>
      <c r="P129" s="24">
        <f t="shared" si="11"/>
        <v>5855.06</v>
      </c>
      <c r="Q129" s="24">
        <f t="shared" si="12"/>
        <v>1528.88</v>
      </c>
      <c r="R129" s="26">
        <f t="shared" si="13"/>
        <v>0.26112114991135871</v>
      </c>
      <c r="S129" s="22" t="str">
        <f t="shared" si="14"/>
        <v>Regular</v>
      </c>
      <c r="T129" s="27" t="str">
        <f t="shared" si="15"/>
        <v>Medium</v>
      </c>
    </row>
    <row r="130" spans="1:20" ht="14.25" customHeight="1" x14ac:dyDescent="0.3">
      <c r="A130" s="21" t="s">
        <v>239</v>
      </c>
      <c r="B130" s="22" t="s">
        <v>205</v>
      </c>
      <c r="C130" s="22" t="str">
        <f>IFERROR(INDEX(Customers!$B$2:$B$31,MATCH(B130,Customers!$A$2:$A$31,0)),"Unknown")</f>
        <v>Ayaan Kapoor</v>
      </c>
      <c r="D130" s="22" t="str">
        <f>IFERROR(INDEX(Customers!$D$2:$D$31,MATCH(B130,Customers!$A$2:$A$31,0)),"Unknown")</f>
        <v>South</v>
      </c>
      <c r="E130" s="22" t="s">
        <v>120</v>
      </c>
      <c r="F130" s="22" t="str">
        <f>IFERROR(INDEX(Products!$B$2:$B$31,MATCH(E130,Products!$A$2:$A$31,0)),"Unknown")</f>
        <v>Kids Story Book</v>
      </c>
      <c r="G130" s="22" t="str">
        <f>IFERROR(INDEX(Products!$C$2:$C$31,MATCH(E130,Products!$A$2:$A$31,0)),"Unknown")</f>
        <v>Books</v>
      </c>
      <c r="H130" s="23">
        <v>45480</v>
      </c>
      <c r="I130" s="22">
        <f t="shared" si="8"/>
        <v>7</v>
      </c>
      <c r="J130" s="22" t="str">
        <f t="shared" si="9"/>
        <v>Jul</v>
      </c>
      <c r="K130" s="22" t="str">
        <f t="shared" si="10"/>
        <v>Q3</v>
      </c>
      <c r="L130" s="22">
        <v>8</v>
      </c>
      <c r="M130" s="24">
        <v>1541.25</v>
      </c>
      <c r="N130" s="25">
        <v>0</v>
      </c>
      <c r="O130" s="24">
        <f>IFERROR(INDEX(Products!$D$2:$D$31,MATCH(E130,Products!$A$2:$A$31,0)),0)</f>
        <v>1101.6300000000001</v>
      </c>
      <c r="P130" s="24">
        <f t="shared" si="11"/>
        <v>12330</v>
      </c>
      <c r="Q130" s="24">
        <f t="shared" si="12"/>
        <v>3516.96</v>
      </c>
      <c r="R130" s="26">
        <f t="shared" si="13"/>
        <v>0.28523600973236007</v>
      </c>
      <c r="S130" s="22" t="str">
        <f t="shared" si="14"/>
        <v>Bulk</v>
      </c>
      <c r="T130" s="27" t="str">
        <f t="shared" si="15"/>
        <v>Medium</v>
      </c>
    </row>
    <row r="131" spans="1:20" ht="14.25" customHeight="1" x14ac:dyDescent="0.3">
      <c r="A131" s="21" t="s">
        <v>240</v>
      </c>
      <c r="B131" s="22" t="s">
        <v>110</v>
      </c>
      <c r="C131" s="22" t="str">
        <f>IFERROR(INDEX(Customers!$B$2:$B$31,MATCH(B131,Customers!$A$2:$A$31,0)),"Unknown")</f>
        <v>Kiara Iyer</v>
      </c>
      <c r="D131" s="22" t="str">
        <f>IFERROR(INDEX(Customers!$D$2:$D$31,MATCH(B131,Customers!$A$2:$A$31,0)),"Unknown")</f>
        <v>Central</v>
      </c>
      <c r="E131" s="22" t="s">
        <v>146</v>
      </c>
      <c r="F131" s="22" t="str">
        <f>IFERROR(INDEX(Products!$B$2:$B$31,MATCH(E131,Products!$A$2:$A$31,0)),"Unknown")</f>
        <v>Blender</v>
      </c>
      <c r="G131" s="22" t="str">
        <f>IFERROR(INDEX(Products!$C$2:$C$31,MATCH(E131,Products!$A$2:$A$31,0)),"Unknown")</f>
        <v>Home &amp; Kitchen</v>
      </c>
      <c r="H131" s="23">
        <v>45480</v>
      </c>
      <c r="I131" s="22">
        <f t="shared" ref="I131:I194" si="16">IF(H131="","",MONTH(H131))</f>
        <v>7</v>
      </c>
      <c r="J131" s="22" t="str">
        <f t="shared" ref="J131:J194" si="17">IF(H131="","",TEXT(H131,"mmm"))</f>
        <v>Jul</v>
      </c>
      <c r="K131" s="22" t="str">
        <f t="shared" ref="K131:K194" si="18">IF(H131="","","Q"&amp;ROUNDUP(MONTH(H131)/3,0))</f>
        <v>Q3</v>
      </c>
      <c r="L131" s="22">
        <v>5</v>
      </c>
      <c r="M131" s="24">
        <v>274.16000000000003</v>
      </c>
      <c r="N131" s="25">
        <v>0.2</v>
      </c>
      <c r="O131" s="24">
        <f>IFERROR(INDEX(Products!$D$2:$D$31,MATCH(E131,Products!$A$2:$A$31,0)),0)</f>
        <v>194.02</v>
      </c>
      <c r="P131" s="24">
        <f t="shared" ref="P131:P194" si="19">ROUND(L131*M131*(1-N131),2)</f>
        <v>1096.6400000000001</v>
      </c>
      <c r="Q131" s="24">
        <f t="shared" ref="Q131:Q194" si="20">ROUND(P131-L131*O131,2)</f>
        <v>126.54</v>
      </c>
      <c r="R131" s="26">
        <f t="shared" ref="R131:R194" si="21">IFERROR(Q131/P131,0)</f>
        <v>0.11538882404435366</v>
      </c>
      <c r="S131" s="22" t="str">
        <f t="shared" ref="S131:S194" si="22">IF(L131&gt;=5,"Bulk","Regular")</f>
        <v>Bulk</v>
      </c>
      <c r="T131" s="27" t="str">
        <f t="shared" ref="T131:T194" si="23">IF(R131&gt;=0.3,"High",IF(R131&gt;=0.15,"Medium","Low"))</f>
        <v>Low</v>
      </c>
    </row>
    <row r="132" spans="1:20" ht="14.25" customHeight="1" x14ac:dyDescent="0.3">
      <c r="A132" s="21" t="s">
        <v>241</v>
      </c>
      <c r="B132" s="22" t="s">
        <v>96</v>
      </c>
      <c r="C132" s="22" t="str">
        <f>IFERROR(INDEX(Customers!$B$2:$B$31,MATCH(B132,Customers!$A$2:$A$31,0)),"Unknown")</f>
        <v>Sai Khan</v>
      </c>
      <c r="D132" s="22" t="str">
        <f>IFERROR(INDEX(Customers!$D$2:$D$31,MATCH(B132,Customers!$A$2:$A$31,0)),"Unknown")</f>
        <v>East</v>
      </c>
      <c r="E132" s="22" t="s">
        <v>97</v>
      </c>
      <c r="F132" s="22" t="str">
        <f>IFERROR(INDEX(Products!$B$2:$B$31,MATCH(E132,Products!$A$2:$A$31,0)),"Unknown")</f>
        <v>Cotton T-Shirt</v>
      </c>
      <c r="G132" s="22" t="str">
        <f>IFERROR(INDEX(Products!$C$2:$C$31,MATCH(E132,Products!$A$2:$A$31,0)),"Unknown")</f>
        <v>Apparel</v>
      </c>
      <c r="H132" s="23">
        <v>45481</v>
      </c>
      <c r="I132" s="22">
        <f t="shared" si="16"/>
        <v>7</v>
      </c>
      <c r="J132" s="22" t="str">
        <f t="shared" si="17"/>
        <v>Jul</v>
      </c>
      <c r="K132" s="22" t="str">
        <f t="shared" si="18"/>
        <v>Q3</v>
      </c>
      <c r="L132" s="22">
        <v>5</v>
      </c>
      <c r="M132" s="24">
        <v>2121.4</v>
      </c>
      <c r="N132" s="25">
        <v>0.2</v>
      </c>
      <c r="O132" s="24">
        <f>IFERROR(INDEX(Products!$D$2:$D$31,MATCH(E132,Products!$A$2:$A$31,0)),0)</f>
        <v>1438.51</v>
      </c>
      <c r="P132" s="24">
        <f t="shared" si="19"/>
        <v>8485.6</v>
      </c>
      <c r="Q132" s="24">
        <f t="shared" si="20"/>
        <v>1293.05</v>
      </c>
      <c r="R132" s="26">
        <f t="shared" si="21"/>
        <v>0.15238168190817383</v>
      </c>
      <c r="S132" s="22" t="str">
        <f t="shared" si="22"/>
        <v>Bulk</v>
      </c>
      <c r="T132" s="27" t="str">
        <f t="shared" si="23"/>
        <v>Medium</v>
      </c>
    </row>
    <row r="133" spans="1:20" ht="14.25" customHeight="1" x14ac:dyDescent="0.3">
      <c r="A133" s="21" t="s">
        <v>242</v>
      </c>
      <c r="B133" s="22" t="s">
        <v>205</v>
      </c>
      <c r="C133" s="22" t="str">
        <f>IFERROR(INDEX(Customers!$B$2:$B$31,MATCH(B133,Customers!$A$2:$A$31,0)),"Unknown")</f>
        <v>Ayaan Kapoor</v>
      </c>
      <c r="D133" s="22" t="str">
        <f>IFERROR(INDEX(Customers!$D$2:$D$31,MATCH(B133,Customers!$A$2:$A$31,0)),"Unknown")</f>
        <v>South</v>
      </c>
      <c r="E133" s="22" t="s">
        <v>117</v>
      </c>
      <c r="F133" s="22" t="str">
        <f>IFERROR(INDEX(Products!$B$2:$B$31,MATCH(E133,Products!$A$2:$A$31,0)),"Unknown")</f>
        <v>Face Wash</v>
      </c>
      <c r="G133" s="22" t="str">
        <f>IFERROR(INDEX(Products!$C$2:$C$31,MATCH(E133,Products!$A$2:$A$31,0)),"Unknown")</f>
        <v>Beauty</v>
      </c>
      <c r="H133" s="23">
        <v>45483</v>
      </c>
      <c r="I133" s="22">
        <f t="shared" si="16"/>
        <v>7</v>
      </c>
      <c r="J133" s="22" t="str">
        <f t="shared" si="17"/>
        <v>Jul</v>
      </c>
      <c r="K133" s="22" t="str">
        <f t="shared" si="18"/>
        <v>Q3</v>
      </c>
      <c r="L133" s="22">
        <v>8</v>
      </c>
      <c r="M133" s="24">
        <v>1560.3</v>
      </c>
      <c r="N133" s="25">
        <v>0.05</v>
      </c>
      <c r="O133" s="24">
        <f>IFERROR(INDEX(Products!$D$2:$D$31,MATCH(E133,Products!$A$2:$A$31,0)),0)</f>
        <v>1003.52</v>
      </c>
      <c r="P133" s="24">
        <f t="shared" si="19"/>
        <v>11858.28</v>
      </c>
      <c r="Q133" s="24">
        <f t="shared" si="20"/>
        <v>3830.12</v>
      </c>
      <c r="R133" s="26">
        <f t="shared" si="21"/>
        <v>0.32299119265188542</v>
      </c>
      <c r="S133" s="22" t="str">
        <f t="shared" si="22"/>
        <v>Bulk</v>
      </c>
      <c r="T133" s="27" t="str">
        <f t="shared" si="23"/>
        <v>High</v>
      </c>
    </row>
    <row r="134" spans="1:20" ht="14.25" customHeight="1" x14ac:dyDescent="0.3">
      <c r="A134" s="21" t="s">
        <v>243</v>
      </c>
      <c r="B134" s="22" t="s">
        <v>79</v>
      </c>
      <c r="C134" s="22" t="str">
        <f>IFERROR(INDEX(Customers!$B$2:$B$31,MATCH(B134,Customers!$A$2:$A$31,0)),"Unknown")</f>
        <v>Imran Iyer</v>
      </c>
      <c r="D134" s="22" t="str">
        <f>IFERROR(INDEX(Customers!$D$2:$D$31,MATCH(B134,Customers!$A$2:$A$31,0)),"Unknown")</f>
        <v>North</v>
      </c>
      <c r="E134" s="22" t="s">
        <v>86</v>
      </c>
      <c r="F134" s="22" t="str">
        <f>IFERROR(INDEX(Products!$B$2:$B$31,MATCH(E134,Products!$A$2:$A$31,0)),"Unknown")</f>
        <v>Electric Kettle</v>
      </c>
      <c r="G134" s="22" t="str">
        <f>IFERROR(INDEX(Products!$C$2:$C$31,MATCH(E134,Products!$A$2:$A$31,0)),"Unknown")</f>
        <v>Home &amp; Kitchen</v>
      </c>
      <c r="H134" s="23">
        <v>45483</v>
      </c>
      <c r="I134" s="22">
        <f t="shared" si="16"/>
        <v>7</v>
      </c>
      <c r="J134" s="22" t="str">
        <f t="shared" si="17"/>
        <v>Jul</v>
      </c>
      <c r="K134" s="22" t="str">
        <f t="shared" si="18"/>
        <v>Q3</v>
      </c>
      <c r="L134" s="22">
        <v>7</v>
      </c>
      <c r="M134" s="24">
        <v>3031.52</v>
      </c>
      <c r="N134" s="25">
        <v>0.1</v>
      </c>
      <c r="O134" s="24">
        <f>IFERROR(INDEX(Products!$D$2:$D$31,MATCH(E134,Products!$A$2:$A$31,0)),0)</f>
        <v>2494.04</v>
      </c>
      <c r="P134" s="24">
        <f t="shared" si="19"/>
        <v>19098.580000000002</v>
      </c>
      <c r="Q134" s="24">
        <f t="shared" si="20"/>
        <v>1640.3</v>
      </c>
      <c r="R134" s="26">
        <f t="shared" si="21"/>
        <v>8.5885966391218607E-2</v>
      </c>
      <c r="S134" s="22" t="str">
        <f t="shared" si="22"/>
        <v>Bulk</v>
      </c>
      <c r="T134" s="27" t="str">
        <f t="shared" si="23"/>
        <v>Low</v>
      </c>
    </row>
    <row r="135" spans="1:20" ht="14.25" customHeight="1" x14ac:dyDescent="0.3">
      <c r="A135" s="21" t="s">
        <v>244</v>
      </c>
      <c r="B135" s="22" t="s">
        <v>205</v>
      </c>
      <c r="C135" s="22" t="str">
        <f>IFERROR(INDEX(Customers!$B$2:$B$31,MATCH(B135,Customers!$A$2:$A$31,0)),"Unknown")</f>
        <v>Ayaan Kapoor</v>
      </c>
      <c r="D135" s="22" t="str">
        <f>IFERROR(INDEX(Customers!$D$2:$D$31,MATCH(B135,Customers!$A$2:$A$31,0)),"Unknown")</f>
        <v>South</v>
      </c>
      <c r="E135" s="22" t="s">
        <v>94</v>
      </c>
      <c r="F135" s="22" t="str">
        <f>IFERROR(INDEX(Products!$B$2:$B$31,MATCH(E135,Products!$A$2:$A$31,0)),"Unknown")</f>
        <v>Skipping Rope</v>
      </c>
      <c r="G135" s="22" t="str">
        <f>IFERROR(INDEX(Products!$C$2:$C$31,MATCH(E135,Products!$A$2:$A$31,0)),"Unknown")</f>
        <v>Sports</v>
      </c>
      <c r="H135" s="23">
        <v>45484</v>
      </c>
      <c r="I135" s="22">
        <f t="shared" si="16"/>
        <v>7</v>
      </c>
      <c r="J135" s="22" t="str">
        <f t="shared" si="17"/>
        <v>Jul</v>
      </c>
      <c r="K135" s="22" t="str">
        <f t="shared" si="18"/>
        <v>Q3</v>
      </c>
      <c r="L135" s="22">
        <v>7</v>
      </c>
      <c r="M135" s="24">
        <v>1142.04</v>
      </c>
      <c r="N135" s="25">
        <v>0</v>
      </c>
      <c r="O135" s="24">
        <f>IFERROR(INDEX(Products!$D$2:$D$31,MATCH(E135,Products!$A$2:$A$31,0)),0)</f>
        <v>725.72</v>
      </c>
      <c r="P135" s="24">
        <f t="shared" si="19"/>
        <v>7994.28</v>
      </c>
      <c r="Q135" s="24">
        <f t="shared" si="20"/>
        <v>2914.24</v>
      </c>
      <c r="R135" s="26">
        <f t="shared" si="21"/>
        <v>0.36454064656229201</v>
      </c>
      <c r="S135" s="22" t="str">
        <f t="shared" si="22"/>
        <v>Bulk</v>
      </c>
      <c r="T135" s="27" t="str">
        <f t="shared" si="23"/>
        <v>High</v>
      </c>
    </row>
    <row r="136" spans="1:20" ht="14.25" customHeight="1" x14ac:dyDescent="0.3">
      <c r="A136" s="21" t="s">
        <v>245</v>
      </c>
      <c r="B136" s="22" t="s">
        <v>107</v>
      </c>
      <c r="C136" s="22" t="str">
        <f>IFERROR(INDEX(Customers!$B$2:$B$31,MATCH(B136,Customers!$A$2:$A$31,0)),"Unknown")</f>
        <v>Mohammed Gupta</v>
      </c>
      <c r="D136" s="22" t="str">
        <f>IFERROR(INDEX(Customers!$D$2:$D$31,MATCH(B136,Customers!$A$2:$A$31,0)),"Unknown")</f>
        <v>North</v>
      </c>
      <c r="E136" s="22" t="s">
        <v>63</v>
      </c>
      <c r="F136" s="22" t="str">
        <f>IFERROR(INDEX(Products!$B$2:$B$31,MATCH(E136,Products!$A$2:$A$31,0)),"Unknown")</f>
        <v>Power Bank</v>
      </c>
      <c r="G136" s="22" t="str">
        <f>IFERROR(INDEX(Products!$C$2:$C$31,MATCH(E136,Products!$A$2:$A$31,0)),"Unknown")</f>
        <v>Electronics</v>
      </c>
      <c r="H136" s="23">
        <v>45487</v>
      </c>
      <c r="I136" s="22">
        <f t="shared" si="16"/>
        <v>7</v>
      </c>
      <c r="J136" s="22" t="str">
        <f t="shared" si="17"/>
        <v>Jul</v>
      </c>
      <c r="K136" s="22" t="str">
        <f t="shared" si="18"/>
        <v>Q3</v>
      </c>
      <c r="L136" s="22">
        <v>1</v>
      </c>
      <c r="M136" s="24">
        <v>1107.74</v>
      </c>
      <c r="N136" s="25">
        <v>0</v>
      </c>
      <c r="O136" s="24">
        <f>IFERROR(INDEX(Products!$D$2:$D$31,MATCH(E136,Products!$A$2:$A$31,0)),0)</f>
        <v>721.01</v>
      </c>
      <c r="P136" s="24">
        <f t="shared" si="19"/>
        <v>1107.74</v>
      </c>
      <c r="Q136" s="24">
        <f t="shared" si="20"/>
        <v>386.73</v>
      </c>
      <c r="R136" s="26">
        <f t="shared" si="21"/>
        <v>0.34911621860725445</v>
      </c>
      <c r="S136" s="22" t="str">
        <f t="shared" si="22"/>
        <v>Regular</v>
      </c>
      <c r="T136" s="27" t="str">
        <f t="shared" si="23"/>
        <v>High</v>
      </c>
    </row>
    <row r="137" spans="1:20" ht="14.25" customHeight="1" x14ac:dyDescent="0.3">
      <c r="A137" s="21" t="s">
        <v>246</v>
      </c>
      <c r="B137" s="22" t="s">
        <v>112</v>
      </c>
      <c r="C137" s="22" t="str">
        <f>IFERROR(INDEX(Customers!$B$2:$B$31,MATCH(B137,Customers!$A$2:$A$31,0)),"Unknown")</f>
        <v>Ayaan Patel</v>
      </c>
      <c r="D137" s="22" t="str">
        <f>IFERROR(INDEX(Customers!$D$2:$D$31,MATCH(B137,Customers!$A$2:$A$31,0)),"Unknown")</f>
        <v>North</v>
      </c>
      <c r="E137" s="22" t="s">
        <v>172</v>
      </c>
      <c r="F137" s="22" t="str">
        <f>IFERROR(INDEX(Products!$B$2:$B$31,MATCH(E137,Products!$A$2:$A$31,0)),"Unknown")</f>
        <v>Football</v>
      </c>
      <c r="G137" s="22" t="str">
        <f>IFERROR(INDEX(Products!$C$2:$C$31,MATCH(E137,Products!$A$2:$A$31,0)),"Unknown")</f>
        <v>Sports</v>
      </c>
      <c r="H137" s="23">
        <v>45487</v>
      </c>
      <c r="I137" s="22">
        <f t="shared" si="16"/>
        <v>7</v>
      </c>
      <c r="J137" s="22" t="str">
        <f t="shared" si="17"/>
        <v>Jul</v>
      </c>
      <c r="K137" s="22" t="str">
        <f t="shared" si="18"/>
        <v>Q3</v>
      </c>
      <c r="L137" s="22">
        <v>4</v>
      </c>
      <c r="M137" s="24">
        <v>2376.58</v>
      </c>
      <c r="N137" s="25">
        <v>0.1</v>
      </c>
      <c r="O137" s="24">
        <f>IFERROR(INDEX(Products!$D$2:$D$31,MATCH(E137,Products!$A$2:$A$31,0)),0)</f>
        <v>1729.74</v>
      </c>
      <c r="P137" s="24">
        <f t="shared" si="19"/>
        <v>8555.69</v>
      </c>
      <c r="Q137" s="24">
        <f t="shared" si="20"/>
        <v>1636.73</v>
      </c>
      <c r="R137" s="26">
        <f t="shared" si="21"/>
        <v>0.19130309770456852</v>
      </c>
      <c r="S137" s="22" t="str">
        <f t="shared" si="22"/>
        <v>Regular</v>
      </c>
      <c r="T137" s="27" t="str">
        <f t="shared" si="23"/>
        <v>Medium</v>
      </c>
    </row>
    <row r="138" spans="1:20" ht="14.25" customHeight="1" x14ac:dyDescent="0.3">
      <c r="A138" s="21" t="s">
        <v>247</v>
      </c>
      <c r="B138" s="22" t="s">
        <v>88</v>
      </c>
      <c r="C138" s="22" t="str">
        <f>IFERROR(INDEX(Customers!$B$2:$B$31,MATCH(B138,Customers!$A$2:$A$31,0)),"Unknown")</f>
        <v>Zara Khan</v>
      </c>
      <c r="D138" s="22" t="str">
        <f>IFERROR(INDEX(Customers!$D$2:$D$31,MATCH(B138,Customers!$A$2:$A$31,0)),"Unknown")</f>
        <v>North</v>
      </c>
      <c r="E138" s="22" t="s">
        <v>126</v>
      </c>
      <c r="F138" s="22" t="str">
        <f>IFERROR(INDEX(Products!$B$2:$B$31,MATCH(E138,Products!$A$2:$A$31,0)),"Unknown")</f>
        <v>Wireless Earbuds</v>
      </c>
      <c r="G138" s="22" t="str">
        <f>IFERROR(INDEX(Products!$C$2:$C$31,MATCH(E138,Products!$A$2:$A$31,0)),"Unknown")</f>
        <v>Electronics</v>
      </c>
      <c r="H138" s="23">
        <v>45493</v>
      </c>
      <c r="I138" s="22">
        <f t="shared" si="16"/>
        <v>7</v>
      </c>
      <c r="J138" s="22" t="str">
        <f t="shared" si="17"/>
        <v>Jul</v>
      </c>
      <c r="K138" s="22" t="str">
        <f t="shared" si="18"/>
        <v>Q3</v>
      </c>
      <c r="L138" s="22">
        <v>6</v>
      </c>
      <c r="M138" s="24">
        <v>1232.23</v>
      </c>
      <c r="N138" s="25">
        <v>0.05</v>
      </c>
      <c r="O138" s="24">
        <f>IFERROR(INDEX(Products!$D$2:$D$31,MATCH(E138,Products!$A$2:$A$31,0)),0)</f>
        <v>1037.43</v>
      </c>
      <c r="P138" s="24">
        <f t="shared" si="19"/>
        <v>7023.71</v>
      </c>
      <c r="Q138" s="24">
        <f t="shared" si="20"/>
        <v>799.13</v>
      </c>
      <c r="R138" s="26">
        <f t="shared" si="21"/>
        <v>0.11377605282678242</v>
      </c>
      <c r="S138" s="22" t="str">
        <f t="shared" si="22"/>
        <v>Bulk</v>
      </c>
      <c r="T138" s="27" t="str">
        <f t="shared" si="23"/>
        <v>Low</v>
      </c>
    </row>
    <row r="139" spans="1:20" ht="14.25" customHeight="1" x14ac:dyDescent="0.3">
      <c r="A139" s="21" t="s">
        <v>248</v>
      </c>
      <c r="B139" s="22" t="s">
        <v>199</v>
      </c>
      <c r="C139" s="22" t="str">
        <f>IFERROR(INDEX(Customers!$B$2:$B$31,MATCH(B139,Customers!$A$2:$A$31,0)),"Unknown")</f>
        <v>Sai Kapoor</v>
      </c>
      <c r="D139" s="22" t="str">
        <f>IFERROR(INDEX(Customers!$D$2:$D$31,MATCH(B139,Customers!$A$2:$A$31,0)),"Unknown")</f>
        <v>South</v>
      </c>
      <c r="E139" s="22" t="s">
        <v>163</v>
      </c>
      <c r="F139" s="22" t="str">
        <f>IFERROR(INDEX(Products!$B$2:$B$31,MATCH(E139,Products!$A$2:$A$31,0)),"Unknown")</f>
        <v>Formal Shirt</v>
      </c>
      <c r="G139" s="22" t="str">
        <f>IFERROR(INDEX(Products!$C$2:$C$31,MATCH(E139,Products!$A$2:$A$31,0)),"Unknown")</f>
        <v>Apparel</v>
      </c>
      <c r="H139" s="23">
        <v>45494</v>
      </c>
      <c r="I139" s="22">
        <f t="shared" si="16"/>
        <v>7</v>
      </c>
      <c r="J139" s="22" t="str">
        <f t="shared" si="17"/>
        <v>Jul</v>
      </c>
      <c r="K139" s="22" t="str">
        <f t="shared" si="18"/>
        <v>Q3</v>
      </c>
      <c r="L139" s="22">
        <v>1</v>
      </c>
      <c r="M139" s="24">
        <v>1724.08</v>
      </c>
      <c r="N139" s="25">
        <v>0</v>
      </c>
      <c r="O139" s="24">
        <f>IFERROR(INDEX(Products!$D$2:$D$31,MATCH(E139,Products!$A$2:$A$31,0)),0)</f>
        <v>1494.7</v>
      </c>
      <c r="P139" s="24">
        <f t="shared" si="19"/>
        <v>1724.08</v>
      </c>
      <c r="Q139" s="24">
        <f t="shared" si="20"/>
        <v>229.38</v>
      </c>
      <c r="R139" s="26">
        <f t="shared" si="21"/>
        <v>0.13304487030764234</v>
      </c>
      <c r="S139" s="22" t="str">
        <f t="shared" si="22"/>
        <v>Regular</v>
      </c>
      <c r="T139" s="27" t="str">
        <f t="shared" si="23"/>
        <v>Low</v>
      </c>
    </row>
    <row r="140" spans="1:20" ht="14.25" customHeight="1" x14ac:dyDescent="0.3">
      <c r="A140" s="21" t="s">
        <v>249</v>
      </c>
      <c r="B140" s="22" t="s">
        <v>158</v>
      </c>
      <c r="C140" s="22" t="str">
        <f>IFERROR(INDEX(Customers!$B$2:$B$31,MATCH(B140,Customers!$A$2:$A$31,0)),"Unknown")</f>
        <v>Kiara Khan</v>
      </c>
      <c r="D140" s="22" t="str">
        <f>IFERROR(INDEX(Customers!$D$2:$D$31,MATCH(B140,Customers!$A$2:$A$31,0)),"Unknown")</f>
        <v>Central</v>
      </c>
      <c r="E140" s="22" t="s">
        <v>57</v>
      </c>
      <c r="F140" s="22" t="str">
        <f>IFERROR(INDEX(Products!$B$2:$B$31,MATCH(E140,Products!$A$2:$A$31,0)),"Unknown")</f>
        <v>Smartwatch</v>
      </c>
      <c r="G140" s="22" t="str">
        <f>IFERROR(INDEX(Products!$C$2:$C$31,MATCH(E140,Products!$A$2:$A$31,0)),"Unknown")</f>
        <v>Electronics</v>
      </c>
      <c r="H140" s="23">
        <v>45494</v>
      </c>
      <c r="I140" s="22">
        <f t="shared" si="16"/>
        <v>7</v>
      </c>
      <c r="J140" s="22" t="str">
        <f t="shared" si="17"/>
        <v>Jul</v>
      </c>
      <c r="K140" s="22" t="str">
        <f t="shared" si="18"/>
        <v>Q3</v>
      </c>
      <c r="L140" s="22">
        <v>5</v>
      </c>
      <c r="M140" s="24">
        <v>1768.5</v>
      </c>
      <c r="N140" s="25">
        <v>0</v>
      </c>
      <c r="O140" s="24">
        <f>IFERROR(INDEX(Products!$D$2:$D$31,MATCH(E140,Products!$A$2:$A$31,0)),0)</f>
        <v>1190.42</v>
      </c>
      <c r="P140" s="24">
        <f t="shared" si="19"/>
        <v>8842.5</v>
      </c>
      <c r="Q140" s="24">
        <f t="shared" si="20"/>
        <v>2890.4</v>
      </c>
      <c r="R140" s="26">
        <f t="shared" si="21"/>
        <v>0.32687588351710489</v>
      </c>
      <c r="S140" s="22" t="str">
        <f t="shared" si="22"/>
        <v>Bulk</v>
      </c>
      <c r="T140" s="27" t="str">
        <f t="shared" si="23"/>
        <v>High</v>
      </c>
    </row>
    <row r="141" spans="1:20" ht="14.25" customHeight="1" x14ac:dyDescent="0.3">
      <c r="A141" s="21" t="s">
        <v>250</v>
      </c>
      <c r="B141" s="22" t="s">
        <v>199</v>
      </c>
      <c r="C141" s="22" t="str">
        <f>IFERROR(INDEX(Customers!$B$2:$B$31,MATCH(B141,Customers!$A$2:$A$31,0)),"Unknown")</f>
        <v>Sai Kapoor</v>
      </c>
      <c r="D141" s="22" t="str">
        <f>IFERROR(INDEX(Customers!$D$2:$D$31,MATCH(B141,Customers!$A$2:$A$31,0)),"Unknown")</f>
        <v>South</v>
      </c>
      <c r="E141" s="22" t="s">
        <v>77</v>
      </c>
      <c r="F141" s="22" t="str">
        <f>IFERROR(INDEX(Products!$B$2:$B$31,MATCH(E141,Products!$A$2:$A$31,0)),"Unknown")</f>
        <v>Fiction Novel</v>
      </c>
      <c r="G141" s="22" t="str">
        <f>IFERROR(INDEX(Products!$C$2:$C$31,MATCH(E141,Products!$A$2:$A$31,0)),"Unknown")</f>
        <v>Books</v>
      </c>
      <c r="H141" s="23">
        <v>45497</v>
      </c>
      <c r="I141" s="22">
        <f t="shared" si="16"/>
        <v>7</v>
      </c>
      <c r="J141" s="22" t="str">
        <f t="shared" si="17"/>
        <v>Jul</v>
      </c>
      <c r="K141" s="22" t="str">
        <f t="shared" si="18"/>
        <v>Q3</v>
      </c>
      <c r="L141" s="22">
        <v>7</v>
      </c>
      <c r="M141" s="24">
        <v>503.78</v>
      </c>
      <c r="N141" s="25">
        <v>0.05</v>
      </c>
      <c r="O141" s="24">
        <f>IFERROR(INDEX(Products!$D$2:$D$31,MATCH(E141,Products!$A$2:$A$31,0)),0)</f>
        <v>345.35</v>
      </c>
      <c r="P141" s="24">
        <f t="shared" si="19"/>
        <v>3350.14</v>
      </c>
      <c r="Q141" s="24">
        <f t="shared" si="20"/>
        <v>932.69</v>
      </c>
      <c r="R141" s="26">
        <f t="shared" si="21"/>
        <v>0.27840329060875069</v>
      </c>
      <c r="S141" s="22" t="str">
        <f t="shared" si="22"/>
        <v>Bulk</v>
      </c>
      <c r="T141" s="27" t="str">
        <f t="shared" si="23"/>
        <v>Medium</v>
      </c>
    </row>
    <row r="142" spans="1:20" ht="14.25" customHeight="1" x14ac:dyDescent="0.3">
      <c r="A142" s="21" t="s">
        <v>251</v>
      </c>
      <c r="B142" s="22" t="s">
        <v>101</v>
      </c>
      <c r="C142" s="22" t="str">
        <f>IFERROR(INDEX(Customers!$B$2:$B$31,MATCH(B142,Customers!$A$2:$A$31,0)),"Unknown")</f>
        <v>Ayaan Verma</v>
      </c>
      <c r="D142" s="22" t="str">
        <f>IFERROR(INDEX(Customers!$D$2:$D$31,MATCH(B142,Customers!$A$2:$A$31,0)),"Unknown")</f>
        <v>East</v>
      </c>
      <c r="E142" s="22" t="s">
        <v>163</v>
      </c>
      <c r="F142" s="22" t="str">
        <f>IFERROR(INDEX(Products!$B$2:$B$31,MATCH(E142,Products!$A$2:$A$31,0)),"Unknown")</f>
        <v>Formal Shirt</v>
      </c>
      <c r="G142" s="22" t="str">
        <f>IFERROR(INDEX(Products!$C$2:$C$31,MATCH(E142,Products!$A$2:$A$31,0)),"Unknown")</f>
        <v>Apparel</v>
      </c>
      <c r="H142" s="23">
        <v>45498</v>
      </c>
      <c r="I142" s="22">
        <f t="shared" si="16"/>
        <v>7</v>
      </c>
      <c r="J142" s="22" t="str">
        <f t="shared" si="17"/>
        <v>Jul</v>
      </c>
      <c r="K142" s="22" t="str">
        <f t="shared" si="18"/>
        <v>Q3</v>
      </c>
      <c r="L142" s="22">
        <v>2</v>
      </c>
      <c r="M142" s="24">
        <v>2352.2399999999998</v>
      </c>
      <c r="N142" s="25">
        <v>0</v>
      </c>
      <c r="O142" s="24">
        <f>IFERROR(INDEX(Products!$D$2:$D$31,MATCH(E142,Products!$A$2:$A$31,0)),0)</f>
        <v>1494.7</v>
      </c>
      <c r="P142" s="24">
        <f t="shared" si="19"/>
        <v>4704.4799999999996</v>
      </c>
      <c r="Q142" s="24">
        <f t="shared" si="20"/>
        <v>1715.08</v>
      </c>
      <c r="R142" s="26">
        <f t="shared" si="21"/>
        <v>0.36456313981566507</v>
      </c>
      <c r="S142" s="22" t="str">
        <f t="shared" si="22"/>
        <v>Regular</v>
      </c>
      <c r="T142" s="27" t="str">
        <f t="shared" si="23"/>
        <v>High</v>
      </c>
    </row>
    <row r="143" spans="1:20" ht="14.25" customHeight="1" x14ac:dyDescent="0.3">
      <c r="A143" s="21" t="s">
        <v>252</v>
      </c>
      <c r="B143" s="22" t="s">
        <v>227</v>
      </c>
      <c r="C143" s="22" t="str">
        <f>IFERROR(INDEX(Customers!$B$2:$B$31,MATCH(B143,Customers!$A$2:$A$31,0)),"Unknown")</f>
        <v>Aditya Iyer</v>
      </c>
      <c r="D143" s="22" t="str">
        <f>IFERROR(INDEX(Customers!$D$2:$D$31,MATCH(B143,Customers!$A$2:$A$31,0)),"Unknown")</f>
        <v>East</v>
      </c>
      <c r="E143" s="22" t="s">
        <v>105</v>
      </c>
      <c r="F143" s="22" t="str">
        <f>IFERROR(INDEX(Products!$B$2:$B$31,MATCH(E143,Products!$A$2:$A$31,0)),"Unknown")</f>
        <v>LED Table Lamp</v>
      </c>
      <c r="G143" s="22" t="str">
        <f>IFERROR(INDEX(Products!$C$2:$C$31,MATCH(E143,Products!$A$2:$A$31,0)),"Unknown")</f>
        <v>Home &amp; Kitchen</v>
      </c>
      <c r="H143" s="23">
        <v>45502</v>
      </c>
      <c r="I143" s="22">
        <f t="shared" si="16"/>
        <v>7</v>
      </c>
      <c r="J143" s="22" t="str">
        <f t="shared" si="17"/>
        <v>Jul</v>
      </c>
      <c r="K143" s="22" t="str">
        <f t="shared" si="18"/>
        <v>Q3</v>
      </c>
      <c r="L143" s="22">
        <v>8</v>
      </c>
      <c r="M143" s="24">
        <v>461.62</v>
      </c>
      <c r="N143" s="25">
        <v>0</v>
      </c>
      <c r="O143" s="24">
        <f>IFERROR(INDEX(Products!$D$2:$D$31,MATCH(E143,Products!$A$2:$A$31,0)),0)</f>
        <v>300</v>
      </c>
      <c r="P143" s="24">
        <f t="shared" si="19"/>
        <v>3692.96</v>
      </c>
      <c r="Q143" s="24">
        <f t="shared" si="20"/>
        <v>1292.96</v>
      </c>
      <c r="R143" s="26">
        <f t="shared" si="21"/>
        <v>0.35011481304969455</v>
      </c>
      <c r="S143" s="22" t="str">
        <f t="shared" si="22"/>
        <v>Bulk</v>
      </c>
      <c r="T143" s="27" t="str">
        <f t="shared" si="23"/>
        <v>High</v>
      </c>
    </row>
    <row r="144" spans="1:20" ht="14.25" customHeight="1" x14ac:dyDescent="0.3">
      <c r="A144" s="21" t="s">
        <v>253</v>
      </c>
      <c r="B144" s="22" t="s">
        <v>161</v>
      </c>
      <c r="C144" s="22" t="str">
        <f>IFERROR(INDEX(Customers!$B$2:$B$31,MATCH(B144,Customers!$A$2:$A$31,0)),"Unknown")</f>
        <v>Zara Reddy</v>
      </c>
      <c r="D144" s="22" t="str">
        <f>IFERROR(INDEX(Customers!$D$2:$D$31,MATCH(B144,Customers!$A$2:$A$31,0)),"Unknown")</f>
        <v>Central</v>
      </c>
      <c r="E144" s="22" t="s">
        <v>94</v>
      </c>
      <c r="F144" s="22" t="str">
        <f>IFERROR(INDEX(Products!$B$2:$B$31,MATCH(E144,Products!$A$2:$A$31,0)),"Unknown")</f>
        <v>Skipping Rope</v>
      </c>
      <c r="G144" s="22" t="str">
        <f>IFERROR(INDEX(Products!$C$2:$C$31,MATCH(E144,Products!$A$2:$A$31,0)),"Unknown")</f>
        <v>Sports</v>
      </c>
      <c r="H144" s="23">
        <v>45502</v>
      </c>
      <c r="I144" s="22">
        <f t="shared" si="16"/>
        <v>7</v>
      </c>
      <c r="J144" s="22" t="str">
        <f t="shared" si="17"/>
        <v>Jul</v>
      </c>
      <c r="K144" s="22" t="str">
        <f t="shared" si="18"/>
        <v>Q3</v>
      </c>
      <c r="L144" s="22">
        <v>4</v>
      </c>
      <c r="M144" s="24">
        <v>921.71</v>
      </c>
      <c r="N144" s="25">
        <v>0.2</v>
      </c>
      <c r="O144" s="24">
        <f>IFERROR(INDEX(Products!$D$2:$D$31,MATCH(E144,Products!$A$2:$A$31,0)),0)</f>
        <v>725.72</v>
      </c>
      <c r="P144" s="24">
        <f t="shared" si="19"/>
        <v>2949.47</v>
      </c>
      <c r="Q144" s="24">
        <f t="shared" si="20"/>
        <v>46.59</v>
      </c>
      <c r="R144" s="26">
        <f t="shared" si="21"/>
        <v>1.5796058274876505E-2</v>
      </c>
      <c r="S144" s="22" t="str">
        <f t="shared" si="22"/>
        <v>Regular</v>
      </c>
      <c r="T144" s="27" t="str">
        <f t="shared" si="23"/>
        <v>Low</v>
      </c>
    </row>
    <row r="145" spans="1:20" ht="14.25" customHeight="1" x14ac:dyDescent="0.3">
      <c r="A145" s="21" t="s">
        <v>254</v>
      </c>
      <c r="B145" s="22" t="s">
        <v>144</v>
      </c>
      <c r="C145" s="22" t="str">
        <f>IFERROR(INDEX(Customers!$B$2:$B$31,MATCH(B145,Customers!$A$2:$A$31,0)),"Unknown")</f>
        <v>Navya Sharma</v>
      </c>
      <c r="D145" s="22" t="str">
        <f>IFERROR(INDEX(Customers!$D$2:$D$31,MATCH(B145,Customers!$A$2:$A$31,0)),"Unknown")</f>
        <v>South</v>
      </c>
      <c r="E145" s="22" t="s">
        <v>69</v>
      </c>
      <c r="F145" s="22" t="str">
        <f>IFERROR(INDEX(Products!$B$2:$B$31,MATCH(E145,Products!$A$2:$A$31,0)),"Unknown")</f>
        <v>Non-Stick Pan</v>
      </c>
      <c r="G145" s="22" t="str">
        <f>IFERROR(INDEX(Products!$C$2:$C$31,MATCH(E145,Products!$A$2:$A$31,0)),"Unknown")</f>
        <v>Home &amp; Kitchen</v>
      </c>
      <c r="H145" s="23">
        <v>45502</v>
      </c>
      <c r="I145" s="22">
        <f t="shared" si="16"/>
        <v>7</v>
      </c>
      <c r="J145" s="22" t="str">
        <f t="shared" si="17"/>
        <v>Jul</v>
      </c>
      <c r="K145" s="22" t="str">
        <f t="shared" si="18"/>
        <v>Q3</v>
      </c>
      <c r="L145" s="22">
        <v>5</v>
      </c>
      <c r="M145" s="24">
        <v>781.59</v>
      </c>
      <c r="N145" s="25">
        <v>0.05</v>
      </c>
      <c r="O145" s="24">
        <f>IFERROR(INDEX(Products!$D$2:$D$31,MATCH(E145,Products!$A$2:$A$31,0)),0)</f>
        <v>610.76</v>
      </c>
      <c r="P145" s="24">
        <f t="shared" si="19"/>
        <v>3712.55</v>
      </c>
      <c r="Q145" s="24">
        <f t="shared" si="20"/>
        <v>658.75</v>
      </c>
      <c r="R145" s="26">
        <f t="shared" si="21"/>
        <v>0.17743868769444182</v>
      </c>
      <c r="S145" s="22" t="str">
        <f t="shared" si="22"/>
        <v>Bulk</v>
      </c>
      <c r="T145" s="27" t="str">
        <f t="shared" si="23"/>
        <v>Medium</v>
      </c>
    </row>
    <row r="146" spans="1:20" ht="14.25" customHeight="1" x14ac:dyDescent="0.3">
      <c r="A146" s="21" t="s">
        <v>255</v>
      </c>
      <c r="B146" s="22" t="s">
        <v>144</v>
      </c>
      <c r="C146" s="22" t="str">
        <f>IFERROR(INDEX(Customers!$B$2:$B$31,MATCH(B146,Customers!$A$2:$A$31,0)),"Unknown")</f>
        <v>Navya Sharma</v>
      </c>
      <c r="D146" s="22" t="str">
        <f>IFERROR(INDEX(Customers!$D$2:$D$31,MATCH(B146,Customers!$A$2:$A$31,0)),"Unknown")</f>
        <v>South</v>
      </c>
      <c r="E146" s="22" t="s">
        <v>80</v>
      </c>
      <c r="F146" s="22" t="str">
        <f>IFERROR(INDEX(Products!$B$2:$B$31,MATCH(E146,Products!$A$2:$A$31,0)),"Unknown")</f>
        <v>Dumbbell Set</v>
      </c>
      <c r="G146" s="22" t="str">
        <f>IFERROR(INDEX(Products!$C$2:$C$31,MATCH(E146,Products!$A$2:$A$31,0)),"Unknown")</f>
        <v>Sports</v>
      </c>
      <c r="H146" s="23">
        <v>45503</v>
      </c>
      <c r="I146" s="22">
        <f t="shared" si="16"/>
        <v>7</v>
      </c>
      <c r="J146" s="22" t="str">
        <f t="shared" si="17"/>
        <v>Jul</v>
      </c>
      <c r="K146" s="22" t="str">
        <f t="shared" si="18"/>
        <v>Q3</v>
      </c>
      <c r="L146" s="22">
        <v>1</v>
      </c>
      <c r="M146" s="24">
        <v>1697.73</v>
      </c>
      <c r="N146" s="25">
        <v>0</v>
      </c>
      <c r="O146" s="24">
        <f>IFERROR(INDEX(Products!$D$2:$D$31,MATCH(E146,Products!$A$2:$A$31,0)),0)</f>
        <v>1379.47</v>
      </c>
      <c r="P146" s="24">
        <f t="shared" si="19"/>
        <v>1697.73</v>
      </c>
      <c r="Q146" s="24">
        <f t="shared" si="20"/>
        <v>318.26</v>
      </c>
      <c r="R146" s="26">
        <f t="shared" si="21"/>
        <v>0.1874620817208861</v>
      </c>
      <c r="S146" s="22" t="str">
        <f t="shared" si="22"/>
        <v>Regular</v>
      </c>
      <c r="T146" s="27" t="str">
        <f t="shared" si="23"/>
        <v>Medium</v>
      </c>
    </row>
    <row r="147" spans="1:20" ht="14.25" customHeight="1" x14ac:dyDescent="0.3">
      <c r="A147" s="21" t="s">
        <v>256</v>
      </c>
      <c r="B147" s="22" t="s">
        <v>129</v>
      </c>
      <c r="C147" s="22" t="str">
        <f>IFERROR(INDEX(Customers!$B$2:$B$31,MATCH(B147,Customers!$A$2:$A$31,0)),"Unknown")</f>
        <v>Sana Chatterjee</v>
      </c>
      <c r="D147" s="22" t="str">
        <f>IFERROR(INDEX(Customers!$D$2:$D$31,MATCH(B147,Customers!$A$2:$A$31,0)),"Unknown")</f>
        <v>North</v>
      </c>
      <c r="E147" s="22" t="s">
        <v>146</v>
      </c>
      <c r="F147" s="22" t="str">
        <f>IFERROR(INDEX(Products!$B$2:$B$31,MATCH(E147,Products!$A$2:$A$31,0)),"Unknown")</f>
        <v>Blender</v>
      </c>
      <c r="G147" s="22" t="str">
        <f>IFERROR(INDEX(Products!$C$2:$C$31,MATCH(E147,Products!$A$2:$A$31,0)),"Unknown")</f>
        <v>Home &amp; Kitchen</v>
      </c>
      <c r="H147" s="23">
        <v>45504</v>
      </c>
      <c r="I147" s="22">
        <f t="shared" si="16"/>
        <v>7</v>
      </c>
      <c r="J147" s="22" t="str">
        <f t="shared" si="17"/>
        <v>Jul</v>
      </c>
      <c r="K147" s="22" t="str">
        <f t="shared" si="18"/>
        <v>Q3</v>
      </c>
      <c r="L147" s="22">
        <v>4</v>
      </c>
      <c r="M147" s="24">
        <v>285.83999999999997</v>
      </c>
      <c r="N147" s="25">
        <v>0.05</v>
      </c>
      <c r="O147" s="24">
        <f>IFERROR(INDEX(Products!$D$2:$D$31,MATCH(E147,Products!$A$2:$A$31,0)),0)</f>
        <v>194.02</v>
      </c>
      <c r="P147" s="24">
        <f t="shared" si="19"/>
        <v>1086.19</v>
      </c>
      <c r="Q147" s="24">
        <f t="shared" si="20"/>
        <v>310.11</v>
      </c>
      <c r="R147" s="26">
        <f t="shared" si="21"/>
        <v>0.2855025363886613</v>
      </c>
      <c r="S147" s="22" t="str">
        <f t="shared" si="22"/>
        <v>Regular</v>
      </c>
      <c r="T147" s="27" t="str">
        <f t="shared" si="23"/>
        <v>Medium</v>
      </c>
    </row>
    <row r="148" spans="1:20" ht="14.25" customHeight="1" x14ac:dyDescent="0.3">
      <c r="A148" s="21" t="s">
        <v>257</v>
      </c>
      <c r="B148" s="22" t="s">
        <v>84</v>
      </c>
      <c r="C148" s="22" t="str">
        <f>IFERROR(INDEX(Customers!$B$2:$B$31,MATCH(B148,Customers!$A$2:$A$31,0)),"Unknown")</f>
        <v>Aditya Khan</v>
      </c>
      <c r="D148" s="22" t="str">
        <f>IFERROR(INDEX(Customers!$D$2:$D$31,MATCH(B148,Customers!$A$2:$A$31,0)),"Unknown")</f>
        <v>North</v>
      </c>
      <c r="E148" s="22" t="s">
        <v>80</v>
      </c>
      <c r="F148" s="22" t="str">
        <f>IFERROR(INDEX(Products!$B$2:$B$31,MATCH(E148,Products!$A$2:$A$31,0)),"Unknown")</f>
        <v>Dumbbell Set</v>
      </c>
      <c r="G148" s="22" t="str">
        <f>IFERROR(INDEX(Products!$C$2:$C$31,MATCH(E148,Products!$A$2:$A$31,0)),"Unknown")</f>
        <v>Sports</v>
      </c>
      <c r="H148" s="23">
        <v>45504</v>
      </c>
      <c r="I148" s="22">
        <f t="shared" si="16"/>
        <v>7</v>
      </c>
      <c r="J148" s="22" t="str">
        <f t="shared" si="17"/>
        <v>Jul</v>
      </c>
      <c r="K148" s="22" t="str">
        <f t="shared" si="18"/>
        <v>Q3</v>
      </c>
      <c r="L148" s="22">
        <v>2</v>
      </c>
      <c r="M148" s="24">
        <v>2103.92</v>
      </c>
      <c r="N148" s="25">
        <v>0.1</v>
      </c>
      <c r="O148" s="24">
        <f>IFERROR(INDEX(Products!$D$2:$D$31,MATCH(E148,Products!$A$2:$A$31,0)),0)</f>
        <v>1379.47</v>
      </c>
      <c r="P148" s="24">
        <f t="shared" si="19"/>
        <v>3787.06</v>
      </c>
      <c r="Q148" s="24">
        <f t="shared" si="20"/>
        <v>1028.1199999999999</v>
      </c>
      <c r="R148" s="26">
        <f t="shared" si="21"/>
        <v>0.27148236362772177</v>
      </c>
      <c r="S148" s="22" t="str">
        <f t="shared" si="22"/>
        <v>Regular</v>
      </c>
      <c r="T148" s="27" t="str">
        <f t="shared" si="23"/>
        <v>Medium</v>
      </c>
    </row>
    <row r="149" spans="1:20" ht="14.25" customHeight="1" x14ac:dyDescent="0.3">
      <c r="A149" s="21" t="s">
        <v>258</v>
      </c>
      <c r="B149" s="22" t="s">
        <v>90</v>
      </c>
      <c r="C149" s="22" t="str">
        <f>IFERROR(INDEX(Customers!$B$2:$B$31,MATCH(B149,Customers!$A$2:$A$31,0)),"Unknown")</f>
        <v>Ayaan Chatterjee</v>
      </c>
      <c r="D149" s="22" t="str">
        <f>IFERROR(INDEX(Customers!$D$2:$D$31,MATCH(B149,Customers!$A$2:$A$31,0)),"Unknown")</f>
        <v>West</v>
      </c>
      <c r="E149" s="22" t="s">
        <v>102</v>
      </c>
      <c r="F149" s="22" t="str">
        <f>IFERROR(INDEX(Products!$B$2:$B$31,MATCH(E149,Products!$A$2:$A$31,0)),"Unknown")</f>
        <v>Storage Jars Set</v>
      </c>
      <c r="G149" s="22" t="str">
        <f>IFERROR(INDEX(Products!$C$2:$C$31,MATCH(E149,Products!$A$2:$A$31,0)),"Unknown")</f>
        <v>Home &amp; Kitchen</v>
      </c>
      <c r="H149" s="23">
        <v>45506</v>
      </c>
      <c r="I149" s="22">
        <f t="shared" si="16"/>
        <v>8</v>
      </c>
      <c r="J149" s="22" t="str">
        <f t="shared" si="17"/>
        <v>Aug</v>
      </c>
      <c r="K149" s="22" t="str">
        <f t="shared" si="18"/>
        <v>Q3</v>
      </c>
      <c r="L149" s="22">
        <v>4</v>
      </c>
      <c r="M149" s="24">
        <v>1798.49</v>
      </c>
      <c r="N149" s="25">
        <v>0</v>
      </c>
      <c r="O149" s="24">
        <f>IFERROR(INDEX(Products!$D$2:$D$31,MATCH(E149,Products!$A$2:$A$31,0)),0)</f>
        <v>1313.05</v>
      </c>
      <c r="P149" s="24">
        <f t="shared" si="19"/>
        <v>7193.96</v>
      </c>
      <c r="Q149" s="24">
        <f t="shared" si="20"/>
        <v>1941.76</v>
      </c>
      <c r="R149" s="26">
        <f t="shared" si="21"/>
        <v>0.26991531784997413</v>
      </c>
      <c r="S149" s="22" t="str">
        <f t="shared" si="22"/>
        <v>Regular</v>
      </c>
      <c r="T149" s="27" t="str">
        <f t="shared" si="23"/>
        <v>Medium</v>
      </c>
    </row>
    <row r="150" spans="1:20" ht="14.25" customHeight="1" x14ac:dyDescent="0.3">
      <c r="A150" s="21" t="s">
        <v>259</v>
      </c>
      <c r="B150" s="22" t="s">
        <v>53</v>
      </c>
      <c r="C150" s="22" t="str">
        <f>IFERROR(INDEX(Customers!$B$2:$B$31,MATCH(B150,Customers!$A$2:$A$31,0)),"Unknown")</f>
        <v>Aisha Malhotra</v>
      </c>
      <c r="D150" s="22" t="str">
        <f>IFERROR(INDEX(Customers!$D$2:$D$31,MATCH(B150,Customers!$A$2:$A$31,0)),"Unknown")</f>
        <v>Central</v>
      </c>
      <c r="E150" s="22" t="s">
        <v>131</v>
      </c>
      <c r="F150" s="22" t="str">
        <f>IFERROR(INDEX(Products!$B$2:$B$31,MATCH(E150,Products!$A$2:$A$31,0)),"Unknown")</f>
        <v>Sunscreen</v>
      </c>
      <c r="G150" s="22" t="str">
        <f>IFERROR(INDEX(Products!$C$2:$C$31,MATCH(E150,Products!$A$2:$A$31,0)),"Unknown")</f>
        <v>Beauty</v>
      </c>
      <c r="H150" s="23">
        <v>45507</v>
      </c>
      <c r="I150" s="22">
        <f t="shared" si="16"/>
        <v>8</v>
      </c>
      <c r="J150" s="22" t="str">
        <f t="shared" si="17"/>
        <v>Aug</v>
      </c>
      <c r="K150" s="22" t="str">
        <f t="shared" si="18"/>
        <v>Q3</v>
      </c>
      <c r="L150" s="22">
        <v>5</v>
      </c>
      <c r="M150" s="24">
        <v>3300.25</v>
      </c>
      <c r="N150" s="25">
        <v>0.05</v>
      </c>
      <c r="O150" s="24">
        <f>IFERROR(INDEX(Products!$D$2:$D$31,MATCH(E150,Products!$A$2:$A$31,0)),0)</f>
        <v>2163.09</v>
      </c>
      <c r="P150" s="24">
        <f t="shared" si="19"/>
        <v>15676.19</v>
      </c>
      <c r="Q150" s="24">
        <f t="shared" si="20"/>
        <v>4860.74</v>
      </c>
      <c r="R150" s="26">
        <f t="shared" si="21"/>
        <v>0.31007151610180789</v>
      </c>
      <c r="S150" s="22" t="str">
        <f t="shared" si="22"/>
        <v>Bulk</v>
      </c>
      <c r="T150" s="27" t="str">
        <f t="shared" si="23"/>
        <v>High</v>
      </c>
    </row>
    <row r="151" spans="1:20" ht="14.25" customHeight="1" x14ac:dyDescent="0.3">
      <c r="A151" s="21" t="s">
        <v>260</v>
      </c>
      <c r="B151" s="22" t="s">
        <v>104</v>
      </c>
      <c r="C151" s="22" t="str">
        <f>IFERROR(INDEX(Customers!$B$2:$B$31,MATCH(B151,Customers!$A$2:$A$31,0)),"Unknown")</f>
        <v>Ishaan Chatterjee</v>
      </c>
      <c r="D151" s="22" t="str">
        <f>IFERROR(INDEX(Customers!$D$2:$D$31,MATCH(B151,Customers!$A$2:$A$31,0)),"Unknown")</f>
        <v>West</v>
      </c>
      <c r="E151" s="22" t="s">
        <v>66</v>
      </c>
      <c r="F151" s="22" t="str">
        <f>IFERROR(INDEX(Products!$B$2:$B$31,MATCH(E151,Products!$A$2:$A$31,0)),"Unknown")</f>
        <v>USB-C Cable</v>
      </c>
      <c r="G151" s="22" t="str">
        <f>IFERROR(INDEX(Products!$C$2:$C$31,MATCH(E151,Products!$A$2:$A$31,0)),"Unknown")</f>
        <v>Electronics</v>
      </c>
      <c r="H151" s="23">
        <v>45508</v>
      </c>
      <c r="I151" s="22">
        <f t="shared" si="16"/>
        <v>8</v>
      </c>
      <c r="J151" s="22" t="str">
        <f t="shared" si="17"/>
        <v>Aug</v>
      </c>
      <c r="K151" s="22" t="str">
        <f t="shared" si="18"/>
        <v>Q3</v>
      </c>
      <c r="L151" s="22">
        <v>3</v>
      </c>
      <c r="M151" s="24">
        <v>863.2</v>
      </c>
      <c r="N151" s="25">
        <v>0</v>
      </c>
      <c r="O151" s="24">
        <f>IFERROR(INDEX(Products!$D$2:$D$31,MATCH(E151,Products!$A$2:$A$31,0)),0)</f>
        <v>676.84</v>
      </c>
      <c r="P151" s="24">
        <f t="shared" si="19"/>
        <v>2589.6</v>
      </c>
      <c r="Q151" s="24">
        <f t="shared" si="20"/>
        <v>559.08000000000004</v>
      </c>
      <c r="R151" s="26">
        <f t="shared" si="21"/>
        <v>0.21589434661723822</v>
      </c>
      <c r="S151" s="22" t="str">
        <f t="shared" si="22"/>
        <v>Regular</v>
      </c>
      <c r="T151" s="27" t="str">
        <f t="shared" si="23"/>
        <v>Medium</v>
      </c>
    </row>
    <row r="152" spans="1:20" ht="14.25" customHeight="1" x14ac:dyDescent="0.3">
      <c r="A152" s="21" t="s">
        <v>261</v>
      </c>
      <c r="B152" s="22" t="s">
        <v>68</v>
      </c>
      <c r="C152" s="22" t="str">
        <f>IFERROR(INDEX(Customers!$B$2:$B$31,MATCH(B152,Customers!$A$2:$A$31,0)),"Unknown")</f>
        <v>Neha Khan</v>
      </c>
      <c r="D152" s="22" t="str">
        <f>IFERROR(INDEX(Customers!$D$2:$D$31,MATCH(B152,Customers!$A$2:$A$31,0)),"Unknown")</f>
        <v>East</v>
      </c>
      <c r="E152" s="22" t="s">
        <v>163</v>
      </c>
      <c r="F152" s="22" t="str">
        <f>IFERROR(INDEX(Products!$B$2:$B$31,MATCH(E152,Products!$A$2:$A$31,0)),"Unknown")</f>
        <v>Formal Shirt</v>
      </c>
      <c r="G152" s="22" t="str">
        <f>IFERROR(INDEX(Products!$C$2:$C$31,MATCH(E152,Products!$A$2:$A$31,0)),"Unknown")</f>
        <v>Apparel</v>
      </c>
      <c r="H152" s="23">
        <v>45511</v>
      </c>
      <c r="I152" s="22">
        <f t="shared" si="16"/>
        <v>8</v>
      </c>
      <c r="J152" s="22" t="str">
        <f t="shared" si="17"/>
        <v>Aug</v>
      </c>
      <c r="K152" s="22" t="str">
        <f t="shared" si="18"/>
        <v>Q3</v>
      </c>
      <c r="L152" s="22">
        <v>1</v>
      </c>
      <c r="M152" s="24">
        <v>2128.52</v>
      </c>
      <c r="N152" s="25">
        <v>0.15</v>
      </c>
      <c r="O152" s="24">
        <f>IFERROR(INDEX(Products!$D$2:$D$31,MATCH(E152,Products!$A$2:$A$31,0)),0)</f>
        <v>1494.7</v>
      </c>
      <c r="P152" s="24">
        <f t="shared" si="19"/>
        <v>1809.24</v>
      </c>
      <c r="Q152" s="24">
        <f t="shared" si="20"/>
        <v>314.54000000000002</v>
      </c>
      <c r="R152" s="26">
        <f t="shared" si="21"/>
        <v>0.17385200415644139</v>
      </c>
      <c r="S152" s="22" t="str">
        <f t="shared" si="22"/>
        <v>Regular</v>
      </c>
      <c r="T152" s="27" t="str">
        <f t="shared" si="23"/>
        <v>Medium</v>
      </c>
    </row>
    <row r="153" spans="1:20" ht="14.25" customHeight="1" x14ac:dyDescent="0.3">
      <c r="A153" s="21" t="s">
        <v>262</v>
      </c>
      <c r="B153" s="22" t="s">
        <v>65</v>
      </c>
      <c r="C153" s="22" t="str">
        <f>IFERROR(INDEX(Customers!$B$2:$B$31,MATCH(B153,Customers!$A$2:$A$31,0)),"Unknown")</f>
        <v>Sana Singh</v>
      </c>
      <c r="D153" s="22" t="str">
        <f>IFERROR(INDEX(Customers!$D$2:$D$31,MATCH(B153,Customers!$A$2:$A$31,0)),"Unknown")</f>
        <v>North</v>
      </c>
      <c r="E153" s="22" t="s">
        <v>77</v>
      </c>
      <c r="F153" s="22" t="str">
        <f>IFERROR(INDEX(Products!$B$2:$B$31,MATCH(E153,Products!$A$2:$A$31,0)),"Unknown")</f>
        <v>Fiction Novel</v>
      </c>
      <c r="G153" s="22" t="str">
        <f>IFERROR(INDEX(Products!$C$2:$C$31,MATCH(E153,Products!$A$2:$A$31,0)),"Unknown")</f>
        <v>Books</v>
      </c>
      <c r="H153" s="23">
        <v>45512</v>
      </c>
      <c r="I153" s="22">
        <f t="shared" si="16"/>
        <v>8</v>
      </c>
      <c r="J153" s="22" t="str">
        <f t="shared" si="17"/>
        <v>Aug</v>
      </c>
      <c r="K153" s="22" t="str">
        <f t="shared" si="18"/>
        <v>Q3</v>
      </c>
      <c r="L153" s="22">
        <v>3</v>
      </c>
      <c r="M153" s="24">
        <v>417.23</v>
      </c>
      <c r="N153" s="25">
        <v>0.1</v>
      </c>
      <c r="O153" s="24">
        <f>IFERROR(INDEX(Products!$D$2:$D$31,MATCH(E153,Products!$A$2:$A$31,0)),0)</f>
        <v>345.35</v>
      </c>
      <c r="P153" s="24">
        <f t="shared" si="19"/>
        <v>1126.52</v>
      </c>
      <c r="Q153" s="24">
        <f t="shared" si="20"/>
        <v>90.47</v>
      </c>
      <c r="R153" s="26">
        <f t="shared" si="21"/>
        <v>8.0309271029364776E-2</v>
      </c>
      <c r="S153" s="22" t="str">
        <f t="shared" si="22"/>
        <v>Regular</v>
      </c>
      <c r="T153" s="27" t="str">
        <f t="shared" si="23"/>
        <v>Low</v>
      </c>
    </row>
    <row r="154" spans="1:20" ht="14.25" customHeight="1" x14ac:dyDescent="0.3">
      <c r="A154" s="21" t="s">
        <v>263</v>
      </c>
      <c r="B154" s="22" t="s">
        <v>62</v>
      </c>
      <c r="C154" s="22" t="str">
        <f>IFERROR(INDEX(Customers!$B$2:$B$31,MATCH(B154,Customers!$A$2:$A$31,0)),"Unknown")</f>
        <v>Ira Singh</v>
      </c>
      <c r="D154" s="22" t="str">
        <f>IFERROR(INDEX(Customers!$D$2:$D$31,MATCH(B154,Customers!$A$2:$A$31,0)),"Unknown")</f>
        <v>West</v>
      </c>
      <c r="E154" s="22" t="s">
        <v>63</v>
      </c>
      <c r="F154" s="22" t="str">
        <f>IFERROR(INDEX(Products!$B$2:$B$31,MATCH(E154,Products!$A$2:$A$31,0)),"Unknown")</f>
        <v>Power Bank</v>
      </c>
      <c r="G154" s="22" t="str">
        <f>IFERROR(INDEX(Products!$C$2:$C$31,MATCH(E154,Products!$A$2:$A$31,0)),"Unknown")</f>
        <v>Electronics</v>
      </c>
      <c r="H154" s="23">
        <v>45513</v>
      </c>
      <c r="I154" s="22">
        <f t="shared" si="16"/>
        <v>8</v>
      </c>
      <c r="J154" s="22" t="str">
        <f t="shared" si="17"/>
        <v>Aug</v>
      </c>
      <c r="K154" s="22" t="str">
        <f t="shared" si="18"/>
        <v>Q3</v>
      </c>
      <c r="L154" s="22">
        <v>6</v>
      </c>
      <c r="M154" s="24">
        <v>1035.3800000000001</v>
      </c>
      <c r="N154" s="25">
        <v>0.2</v>
      </c>
      <c r="O154" s="24">
        <f>IFERROR(INDEX(Products!$D$2:$D$31,MATCH(E154,Products!$A$2:$A$31,0)),0)</f>
        <v>721.01</v>
      </c>
      <c r="P154" s="24">
        <f t="shared" si="19"/>
        <v>4969.82</v>
      </c>
      <c r="Q154" s="24">
        <f t="shared" si="20"/>
        <v>643.76</v>
      </c>
      <c r="R154" s="26">
        <f t="shared" si="21"/>
        <v>0.12953386641769724</v>
      </c>
      <c r="S154" s="22" t="str">
        <f t="shared" si="22"/>
        <v>Bulk</v>
      </c>
      <c r="T154" s="27" t="str">
        <f t="shared" si="23"/>
        <v>Low</v>
      </c>
    </row>
    <row r="155" spans="1:20" ht="14.25" customHeight="1" x14ac:dyDescent="0.3">
      <c r="A155" s="21" t="s">
        <v>264</v>
      </c>
      <c r="B155" s="22" t="s">
        <v>123</v>
      </c>
      <c r="C155" s="22" t="str">
        <f>IFERROR(INDEX(Customers!$B$2:$B$31,MATCH(B155,Customers!$A$2:$A$31,0)),"Unknown")</f>
        <v>Kabir Gupta</v>
      </c>
      <c r="D155" s="22" t="str">
        <f>IFERROR(INDEX(Customers!$D$2:$D$31,MATCH(B155,Customers!$A$2:$A$31,0)),"Unknown")</f>
        <v>Central</v>
      </c>
      <c r="E155" s="22" t="s">
        <v>54</v>
      </c>
      <c r="F155" s="22" t="str">
        <f>IFERROR(INDEX(Products!$B$2:$B$31,MATCH(E155,Products!$A$2:$A$31,0)),"Unknown")</f>
        <v>Bluetooth Speaker</v>
      </c>
      <c r="G155" s="22" t="str">
        <f>IFERROR(INDEX(Products!$C$2:$C$31,MATCH(E155,Products!$A$2:$A$31,0)),"Unknown")</f>
        <v>Electronics</v>
      </c>
      <c r="H155" s="23">
        <v>45515</v>
      </c>
      <c r="I155" s="22">
        <f t="shared" si="16"/>
        <v>8</v>
      </c>
      <c r="J155" s="22" t="str">
        <f t="shared" si="17"/>
        <v>Aug</v>
      </c>
      <c r="K155" s="22" t="str">
        <f t="shared" si="18"/>
        <v>Q3</v>
      </c>
      <c r="L155" s="22">
        <v>1</v>
      </c>
      <c r="M155" s="24">
        <v>3111.63</v>
      </c>
      <c r="N155" s="25">
        <v>0</v>
      </c>
      <c r="O155" s="24">
        <f>IFERROR(INDEX(Products!$D$2:$D$31,MATCH(E155,Products!$A$2:$A$31,0)),0)</f>
        <v>2293.21</v>
      </c>
      <c r="P155" s="24">
        <f t="shared" si="19"/>
        <v>3111.63</v>
      </c>
      <c r="Q155" s="24">
        <f t="shared" si="20"/>
        <v>818.42</v>
      </c>
      <c r="R155" s="26">
        <f t="shared" si="21"/>
        <v>0.26301970349945203</v>
      </c>
      <c r="S155" s="22" t="str">
        <f t="shared" si="22"/>
        <v>Regular</v>
      </c>
      <c r="T155" s="27" t="str">
        <f t="shared" si="23"/>
        <v>Medium</v>
      </c>
    </row>
    <row r="156" spans="1:20" ht="14.25" customHeight="1" x14ac:dyDescent="0.3">
      <c r="A156" s="21" t="s">
        <v>265</v>
      </c>
      <c r="B156" s="22" t="s">
        <v>88</v>
      </c>
      <c r="C156" s="22" t="str">
        <f>IFERROR(INDEX(Customers!$B$2:$B$31,MATCH(B156,Customers!$A$2:$A$31,0)),"Unknown")</f>
        <v>Zara Khan</v>
      </c>
      <c r="D156" s="22" t="str">
        <f>IFERROR(INDEX(Customers!$D$2:$D$31,MATCH(B156,Customers!$A$2:$A$31,0)),"Unknown")</f>
        <v>North</v>
      </c>
      <c r="E156" s="22" t="s">
        <v>77</v>
      </c>
      <c r="F156" s="22" t="str">
        <f>IFERROR(INDEX(Products!$B$2:$B$31,MATCH(E156,Products!$A$2:$A$31,0)),"Unknown")</f>
        <v>Fiction Novel</v>
      </c>
      <c r="G156" s="22" t="str">
        <f>IFERROR(INDEX(Products!$C$2:$C$31,MATCH(E156,Products!$A$2:$A$31,0)),"Unknown")</f>
        <v>Books</v>
      </c>
      <c r="H156" s="23">
        <v>45516</v>
      </c>
      <c r="I156" s="22">
        <f t="shared" si="16"/>
        <v>8</v>
      </c>
      <c r="J156" s="22" t="str">
        <f t="shared" si="17"/>
        <v>Aug</v>
      </c>
      <c r="K156" s="22" t="str">
        <f t="shared" si="18"/>
        <v>Q3</v>
      </c>
      <c r="L156" s="22">
        <v>2</v>
      </c>
      <c r="M156" s="24">
        <v>490.09</v>
      </c>
      <c r="N156" s="25">
        <v>0.05</v>
      </c>
      <c r="O156" s="24">
        <f>IFERROR(INDEX(Products!$D$2:$D$31,MATCH(E156,Products!$A$2:$A$31,0)),0)</f>
        <v>345.35</v>
      </c>
      <c r="P156" s="24">
        <f t="shared" si="19"/>
        <v>931.17</v>
      </c>
      <c r="Q156" s="24">
        <f t="shared" si="20"/>
        <v>240.47</v>
      </c>
      <c r="R156" s="26">
        <f t="shared" si="21"/>
        <v>0.25824500359762448</v>
      </c>
      <c r="S156" s="22" t="str">
        <f t="shared" si="22"/>
        <v>Regular</v>
      </c>
      <c r="T156" s="27" t="str">
        <f t="shared" si="23"/>
        <v>Medium</v>
      </c>
    </row>
    <row r="157" spans="1:20" ht="14.25" customHeight="1" x14ac:dyDescent="0.3">
      <c r="A157" s="21" t="s">
        <v>266</v>
      </c>
      <c r="B157" s="22" t="s">
        <v>96</v>
      </c>
      <c r="C157" s="22" t="str">
        <f>IFERROR(INDEX(Customers!$B$2:$B$31,MATCH(B157,Customers!$A$2:$A$31,0)),"Unknown")</f>
        <v>Sai Khan</v>
      </c>
      <c r="D157" s="22" t="str">
        <f>IFERROR(INDEX(Customers!$D$2:$D$31,MATCH(B157,Customers!$A$2:$A$31,0)),"Unknown")</f>
        <v>East</v>
      </c>
      <c r="E157" s="22" t="s">
        <v>66</v>
      </c>
      <c r="F157" s="22" t="str">
        <f>IFERROR(INDEX(Products!$B$2:$B$31,MATCH(E157,Products!$A$2:$A$31,0)),"Unknown")</f>
        <v>USB-C Cable</v>
      </c>
      <c r="G157" s="22" t="str">
        <f>IFERROR(INDEX(Products!$C$2:$C$31,MATCH(E157,Products!$A$2:$A$31,0)),"Unknown")</f>
        <v>Electronics</v>
      </c>
      <c r="H157" s="23">
        <v>45517</v>
      </c>
      <c r="I157" s="22">
        <f t="shared" si="16"/>
        <v>8</v>
      </c>
      <c r="J157" s="22" t="str">
        <f t="shared" si="17"/>
        <v>Aug</v>
      </c>
      <c r="K157" s="22" t="str">
        <f t="shared" si="18"/>
        <v>Q3</v>
      </c>
      <c r="L157" s="22">
        <v>5</v>
      </c>
      <c r="M157" s="24">
        <v>921.19</v>
      </c>
      <c r="N157" s="25">
        <v>0.15</v>
      </c>
      <c r="O157" s="24">
        <f>IFERROR(INDEX(Products!$D$2:$D$31,MATCH(E157,Products!$A$2:$A$31,0)),0)</f>
        <v>676.84</v>
      </c>
      <c r="P157" s="24">
        <f t="shared" si="19"/>
        <v>3915.06</v>
      </c>
      <c r="Q157" s="24">
        <f t="shared" si="20"/>
        <v>530.86</v>
      </c>
      <c r="R157" s="26">
        <f t="shared" si="21"/>
        <v>0.13559434593594991</v>
      </c>
      <c r="S157" s="22" t="str">
        <f t="shared" si="22"/>
        <v>Bulk</v>
      </c>
      <c r="T157" s="27" t="str">
        <f t="shared" si="23"/>
        <v>Low</v>
      </c>
    </row>
    <row r="158" spans="1:20" ht="14.25" customHeight="1" x14ac:dyDescent="0.3">
      <c r="A158" s="21" t="s">
        <v>267</v>
      </c>
      <c r="B158" s="22" t="s">
        <v>53</v>
      </c>
      <c r="C158" s="22" t="str">
        <f>IFERROR(INDEX(Customers!$B$2:$B$31,MATCH(B158,Customers!$A$2:$A$31,0)),"Unknown")</f>
        <v>Aisha Malhotra</v>
      </c>
      <c r="D158" s="22" t="str">
        <f>IFERROR(INDEX(Customers!$D$2:$D$31,MATCH(B158,Customers!$A$2:$A$31,0)),"Unknown")</f>
        <v>Central</v>
      </c>
      <c r="E158" s="22" t="s">
        <v>97</v>
      </c>
      <c r="F158" s="22" t="str">
        <f>IFERROR(INDEX(Products!$B$2:$B$31,MATCH(E158,Products!$A$2:$A$31,0)),"Unknown")</f>
        <v>Cotton T-Shirt</v>
      </c>
      <c r="G158" s="22" t="str">
        <f>IFERROR(INDEX(Products!$C$2:$C$31,MATCH(E158,Products!$A$2:$A$31,0)),"Unknown")</f>
        <v>Apparel</v>
      </c>
      <c r="H158" s="23">
        <v>45518</v>
      </c>
      <c r="I158" s="22">
        <f t="shared" si="16"/>
        <v>8</v>
      </c>
      <c r="J158" s="22" t="str">
        <f t="shared" si="17"/>
        <v>Aug</v>
      </c>
      <c r="K158" s="22" t="str">
        <f t="shared" si="18"/>
        <v>Q3</v>
      </c>
      <c r="L158" s="22">
        <v>7</v>
      </c>
      <c r="M158" s="24">
        <v>2017.38</v>
      </c>
      <c r="N158" s="25">
        <v>0</v>
      </c>
      <c r="O158" s="24">
        <f>IFERROR(INDEX(Products!$D$2:$D$31,MATCH(E158,Products!$A$2:$A$31,0)),0)</f>
        <v>1438.51</v>
      </c>
      <c r="P158" s="24">
        <f t="shared" si="19"/>
        <v>14121.66</v>
      </c>
      <c r="Q158" s="24">
        <f t="shared" si="20"/>
        <v>4052.09</v>
      </c>
      <c r="R158" s="26">
        <f t="shared" si="21"/>
        <v>0.28694147855138846</v>
      </c>
      <c r="S158" s="22" t="str">
        <f t="shared" si="22"/>
        <v>Bulk</v>
      </c>
      <c r="T158" s="27" t="str">
        <f t="shared" si="23"/>
        <v>Medium</v>
      </c>
    </row>
    <row r="159" spans="1:20" ht="14.25" customHeight="1" x14ac:dyDescent="0.3">
      <c r="A159" s="21" t="s">
        <v>268</v>
      </c>
      <c r="B159" s="22" t="s">
        <v>112</v>
      </c>
      <c r="C159" s="22" t="str">
        <f>IFERROR(INDEX(Customers!$B$2:$B$31,MATCH(B159,Customers!$A$2:$A$31,0)),"Unknown")</f>
        <v>Ayaan Patel</v>
      </c>
      <c r="D159" s="22" t="str">
        <f>IFERROR(INDEX(Customers!$D$2:$D$31,MATCH(B159,Customers!$A$2:$A$31,0)),"Unknown")</f>
        <v>North</v>
      </c>
      <c r="E159" s="22" t="s">
        <v>69</v>
      </c>
      <c r="F159" s="22" t="str">
        <f>IFERROR(INDEX(Products!$B$2:$B$31,MATCH(E159,Products!$A$2:$A$31,0)),"Unknown")</f>
        <v>Non-Stick Pan</v>
      </c>
      <c r="G159" s="22" t="str">
        <f>IFERROR(INDEX(Products!$C$2:$C$31,MATCH(E159,Products!$A$2:$A$31,0)),"Unknown")</f>
        <v>Home &amp; Kitchen</v>
      </c>
      <c r="H159" s="23">
        <v>45518</v>
      </c>
      <c r="I159" s="22">
        <f t="shared" si="16"/>
        <v>8</v>
      </c>
      <c r="J159" s="22" t="str">
        <f t="shared" si="17"/>
        <v>Aug</v>
      </c>
      <c r="K159" s="22" t="str">
        <f t="shared" si="18"/>
        <v>Q3</v>
      </c>
      <c r="L159" s="22">
        <v>7</v>
      </c>
      <c r="M159" s="24">
        <v>930.65</v>
      </c>
      <c r="N159" s="25">
        <v>0.1</v>
      </c>
      <c r="O159" s="24">
        <f>IFERROR(INDEX(Products!$D$2:$D$31,MATCH(E159,Products!$A$2:$A$31,0)),0)</f>
        <v>610.76</v>
      </c>
      <c r="P159" s="24">
        <f t="shared" si="19"/>
        <v>5863.1</v>
      </c>
      <c r="Q159" s="24">
        <f t="shared" si="20"/>
        <v>1587.78</v>
      </c>
      <c r="R159" s="26">
        <f t="shared" si="21"/>
        <v>0.27080895771861302</v>
      </c>
      <c r="S159" s="22" t="str">
        <f t="shared" si="22"/>
        <v>Bulk</v>
      </c>
      <c r="T159" s="27" t="str">
        <f t="shared" si="23"/>
        <v>Medium</v>
      </c>
    </row>
    <row r="160" spans="1:20" ht="14.25" customHeight="1" x14ac:dyDescent="0.3">
      <c r="A160" s="21" t="s">
        <v>269</v>
      </c>
      <c r="B160" s="22" t="s">
        <v>104</v>
      </c>
      <c r="C160" s="22" t="str">
        <f>IFERROR(INDEX(Customers!$B$2:$B$31,MATCH(B160,Customers!$A$2:$A$31,0)),"Unknown")</f>
        <v>Ishaan Chatterjee</v>
      </c>
      <c r="D160" s="22" t="str">
        <f>IFERROR(INDEX(Customers!$D$2:$D$31,MATCH(B160,Customers!$A$2:$A$31,0)),"Unknown")</f>
        <v>West</v>
      </c>
      <c r="E160" s="22" t="s">
        <v>94</v>
      </c>
      <c r="F160" s="22" t="str">
        <f>IFERROR(INDEX(Products!$B$2:$B$31,MATCH(E160,Products!$A$2:$A$31,0)),"Unknown")</f>
        <v>Skipping Rope</v>
      </c>
      <c r="G160" s="22" t="str">
        <f>IFERROR(INDEX(Products!$C$2:$C$31,MATCH(E160,Products!$A$2:$A$31,0)),"Unknown")</f>
        <v>Sports</v>
      </c>
      <c r="H160" s="23">
        <v>45518</v>
      </c>
      <c r="I160" s="22">
        <f t="shared" si="16"/>
        <v>8</v>
      </c>
      <c r="J160" s="22" t="str">
        <f t="shared" si="17"/>
        <v>Aug</v>
      </c>
      <c r="K160" s="22" t="str">
        <f t="shared" si="18"/>
        <v>Q3</v>
      </c>
      <c r="L160" s="22">
        <v>5</v>
      </c>
      <c r="M160" s="24">
        <v>1115.49</v>
      </c>
      <c r="N160" s="25">
        <v>0.05</v>
      </c>
      <c r="O160" s="24">
        <f>IFERROR(INDEX(Products!$D$2:$D$31,MATCH(E160,Products!$A$2:$A$31,0)),0)</f>
        <v>725.72</v>
      </c>
      <c r="P160" s="24">
        <f t="shared" si="19"/>
        <v>5298.58</v>
      </c>
      <c r="Q160" s="24">
        <f t="shared" si="20"/>
        <v>1669.98</v>
      </c>
      <c r="R160" s="26">
        <f t="shared" si="21"/>
        <v>0.3151750091533958</v>
      </c>
      <c r="S160" s="22" t="str">
        <f t="shared" si="22"/>
        <v>Bulk</v>
      </c>
      <c r="T160" s="27" t="str">
        <f t="shared" si="23"/>
        <v>High</v>
      </c>
    </row>
    <row r="161" spans="1:20" ht="14.25" customHeight="1" x14ac:dyDescent="0.3">
      <c r="A161" s="21" t="s">
        <v>270</v>
      </c>
      <c r="B161" s="22" t="s">
        <v>107</v>
      </c>
      <c r="C161" s="22" t="str">
        <f>IFERROR(INDEX(Customers!$B$2:$B$31,MATCH(B161,Customers!$A$2:$A$31,0)),"Unknown")</f>
        <v>Mohammed Gupta</v>
      </c>
      <c r="D161" s="22" t="str">
        <f>IFERROR(INDEX(Customers!$D$2:$D$31,MATCH(B161,Customers!$A$2:$A$31,0)),"Unknown")</f>
        <v>North</v>
      </c>
      <c r="E161" s="22" t="s">
        <v>94</v>
      </c>
      <c r="F161" s="22" t="str">
        <f>IFERROR(INDEX(Products!$B$2:$B$31,MATCH(E161,Products!$A$2:$A$31,0)),"Unknown")</f>
        <v>Skipping Rope</v>
      </c>
      <c r="G161" s="22" t="str">
        <f>IFERROR(INDEX(Products!$C$2:$C$31,MATCH(E161,Products!$A$2:$A$31,0)),"Unknown")</f>
        <v>Sports</v>
      </c>
      <c r="H161" s="23">
        <v>45519</v>
      </c>
      <c r="I161" s="22">
        <f t="shared" si="16"/>
        <v>8</v>
      </c>
      <c r="J161" s="22" t="str">
        <f t="shared" si="17"/>
        <v>Aug</v>
      </c>
      <c r="K161" s="22" t="str">
        <f t="shared" si="18"/>
        <v>Q3</v>
      </c>
      <c r="L161" s="22">
        <v>2</v>
      </c>
      <c r="M161" s="24">
        <v>1128.26</v>
      </c>
      <c r="N161" s="25">
        <v>0</v>
      </c>
      <c r="O161" s="24">
        <f>IFERROR(INDEX(Products!$D$2:$D$31,MATCH(E161,Products!$A$2:$A$31,0)),0)</f>
        <v>725.72</v>
      </c>
      <c r="P161" s="24">
        <f t="shared" si="19"/>
        <v>2256.52</v>
      </c>
      <c r="Q161" s="24">
        <f t="shared" si="20"/>
        <v>805.08</v>
      </c>
      <c r="R161" s="26">
        <f t="shared" si="21"/>
        <v>0.35677946572598518</v>
      </c>
      <c r="S161" s="22" t="str">
        <f t="shared" si="22"/>
        <v>Regular</v>
      </c>
      <c r="T161" s="27" t="str">
        <f t="shared" si="23"/>
        <v>High</v>
      </c>
    </row>
    <row r="162" spans="1:20" ht="14.25" customHeight="1" x14ac:dyDescent="0.3">
      <c r="A162" s="21" t="s">
        <v>271</v>
      </c>
      <c r="B162" s="22" t="s">
        <v>90</v>
      </c>
      <c r="C162" s="22" t="str">
        <f>IFERROR(INDEX(Customers!$B$2:$B$31,MATCH(B162,Customers!$A$2:$A$31,0)),"Unknown")</f>
        <v>Ayaan Chatterjee</v>
      </c>
      <c r="D162" s="22" t="str">
        <f>IFERROR(INDEX(Customers!$D$2:$D$31,MATCH(B162,Customers!$A$2:$A$31,0)),"Unknown")</f>
        <v>West</v>
      </c>
      <c r="E162" s="22" t="s">
        <v>120</v>
      </c>
      <c r="F162" s="22" t="str">
        <f>IFERROR(INDEX(Products!$B$2:$B$31,MATCH(E162,Products!$A$2:$A$31,0)),"Unknown")</f>
        <v>Kids Story Book</v>
      </c>
      <c r="G162" s="22" t="str">
        <f>IFERROR(INDEX(Products!$C$2:$C$31,MATCH(E162,Products!$A$2:$A$31,0)),"Unknown")</f>
        <v>Books</v>
      </c>
      <c r="H162" s="23">
        <v>45521</v>
      </c>
      <c r="I162" s="22">
        <f t="shared" si="16"/>
        <v>8</v>
      </c>
      <c r="J162" s="22" t="str">
        <f t="shared" si="17"/>
        <v>Aug</v>
      </c>
      <c r="K162" s="22" t="str">
        <f t="shared" si="18"/>
        <v>Q3</v>
      </c>
      <c r="L162" s="22">
        <v>6</v>
      </c>
      <c r="M162" s="24">
        <v>1695.31</v>
      </c>
      <c r="N162" s="25">
        <v>0.15</v>
      </c>
      <c r="O162" s="24">
        <f>IFERROR(INDEX(Products!$D$2:$D$31,MATCH(E162,Products!$A$2:$A$31,0)),0)</f>
        <v>1101.6300000000001</v>
      </c>
      <c r="P162" s="24">
        <f t="shared" si="19"/>
        <v>8646.08</v>
      </c>
      <c r="Q162" s="24">
        <f t="shared" si="20"/>
        <v>2036.3</v>
      </c>
      <c r="R162" s="26">
        <f t="shared" si="21"/>
        <v>0.23551713608941854</v>
      </c>
      <c r="S162" s="22" t="str">
        <f t="shared" si="22"/>
        <v>Bulk</v>
      </c>
      <c r="T162" s="27" t="str">
        <f t="shared" si="23"/>
        <v>Medium</v>
      </c>
    </row>
    <row r="163" spans="1:20" ht="14.25" customHeight="1" x14ac:dyDescent="0.3">
      <c r="A163" s="21" t="s">
        <v>272</v>
      </c>
      <c r="B163" s="22" t="s">
        <v>53</v>
      </c>
      <c r="C163" s="22" t="str">
        <f>IFERROR(INDEX(Customers!$B$2:$B$31,MATCH(B163,Customers!$A$2:$A$31,0)),"Unknown")</f>
        <v>Aisha Malhotra</v>
      </c>
      <c r="D163" s="22" t="str">
        <f>IFERROR(INDEX(Customers!$D$2:$D$31,MATCH(B163,Customers!$A$2:$A$31,0)),"Unknown")</f>
        <v>Central</v>
      </c>
      <c r="E163" s="22" t="s">
        <v>94</v>
      </c>
      <c r="F163" s="22" t="str">
        <f>IFERROR(INDEX(Products!$B$2:$B$31,MATCH(E163,Products!$A$2:$A$31,0)),"Unknown")</f>
        <v>Skipping Rope</v>
      </c>
      <c r="G163" s="22" t="str">
        <f>IFERROR(INDEX(Products!$C$2:$C$31,MATCH(E163,Products!$A$2:$A$31,0)),"Unknown")</f>
        <v>Sports</v>
      </c>
      <c r="H163" s="23">
        <v>45524</v>
      </c>
      <c r="I163" s="22">
        <f t="shared" si="16"/>
        <v>8</v>
      </c>
      <c r="J163" s="22" t="str">
        <f t="shared" si="17"/>
        <v>Aug</v>
      </c>
      <c r="K163" s="22" t="str">
        <f t="shared" si="18"/>
        <v>Q3</v>
      </c>
      <c r="L163" s="22">
        <v>5</v>
      </c>
      <c r="M163" s="24">
        <v>972.72</v>
      </c>
      <c r="N163" s="25">
        <v>0.15</v>
      </c>
      <c r="O163" s="24">
        <f>IFERROR(INDEX(Products!$D$2:$D$31,MATCH(E163,Products!$A$2:$A$31,0)),0)</f>
        <v>725.72</v>
      </c>
      <c r="P163" s="24">
        <f t="shared" si="19"/>
        <v>4134.0600000000004</v>
      </c>
      <c r="Q163" s="24">
        <f t="shared" si="20"/>
        <v>505.46</v>
      </c>
      <c r="R163" s="26">
        <f t="shared" si="21"/>
        <v>0.1222672143123225</v>
      </c>
      <c r="S163" s="22" t="str">
        <f t="shared" si="22"/>
        <v>Bulk</v>
      </c>
      <c r="T163" s="27" t="str">
        <f t="shared" si="23"/>
        <v>Low</v>
      </c>
    </row>
    <row r="164" spans="1:20" ht="14.25" customHeight="1" x14ac:dyDescent="0.3">
      <c r="A164" s="21" t="s">
        <v>273</v>
      </c>
      <c r="B164" s="22" t="s">
        <v>96</v>
      </c>
      <c r="C164" s="22" t="str">
        <f>IFERROR(INDEX(Customers!$B$2:$B$31,MATCH(B164,Customers!$A$2:$A$31,0)),"Unknown")</f>
        <v>Sai Khan</v>
      </c>
      <c r="D164" s="22" t="str">
        <f>IFERROR(INDEX(Customers!$D$2:$D$31,MATCH(B164,Customers!$A$2:$A$31,0)),"Unknown")</f>
        <v>East</v>
      </c>
      <c r="E164" s="22" t="s">
        <v>108</v>
      </c>
      <c r="F164" s="22" t="str">
        <f>IFERROR(INDEX(Products!$B$2:$B$31,MATCH(E164,Products!$A$2:$A$31,0)),"Unknown")</f>
        <v>Denim Jeans</v>
      </c>
      <c r="G164" s="22" t="str">
        <f>IFERROR(INDEX(Products!$C$2:$C$31,MATCH(E164,Products!$A$2:$A$31,0)),"Unknown")</f>
        <v>Apparel</v>
      </c>
      <c r="H164" s="23">
        <v>45524</v>
      </c>
      <c r="I164" s="22">
        <f t="shared" si="16"/>
        <v>8</v>
      </c>
      <c r="J164" s="22" t="str">
        <f t="shared" si="17"/>
        <v>Aug</v>
      </c>
      <c r="K164" s="22" t="str">
        <f t="shared" si="18"/>
        <v>Q3</v>
      </c>
      <c r="L164" s="22">
        <v>6</v>
      </c>
      <c r="M164" s="24">
        <v>931.92</v>
      </c>
      <c r="N164" s="25">
        <v>0.05</v>
      </c>
      <c r="O164" s="24">
        <f>IFERROR(INDEX(Products!$D$2:$D$31,MATCH(E164,Products!$A$2:$A$31,0)),0)</f>
        <v>715.83</v>
      </c>
      <c r="P164" s="24">
        <f t="shared" si="19"/>
        <v>5311.94</v>
      </c>
      <c r="Q164" s="24">
        <f t="shared" si="20"/>
        <v>1016.96</v>
      </c>
      <c r="R164" s="26">
        <f t="shared" si="21"/>
        <v>0.19144794557167441</v>
      </c>
      <c r="S164" s="22" t="str">
        <f t="shared" si="22"/>
        <v>Bulk</v>
      </c>
      <c r="T164" s="27" t="str">
        <f t="shared" si="23"/>
        <v>Medium</v>
      </c>
    </row>
    <row r="165" spans="1:20" ht="14.25" customHeight="1" x14ac:dyDescent="0.3">
      <c r="A165" s="21" t="s">
        <v>274</v>
      </c>
      <c r="B165" s="22" t="s">
        <v>71</v>
      </c>
      <c r="C165" s="22" t="str">
        <f>IFERROR(INDEX(Customers!$B$2:$B$31,MATCH(B165,Customers!$A$2:$A$31,0)),"Unknown")</f>
        <v>Imran Mehta</v>
      </c>
      <c r="D165" s="22" t="str">
        <f>IFERROR(INDEX(Customers!$D$2:$D$31,MATCH(B165,Customers!$A$2:$A$31,0)),"Unknown")</f>
        <v>Central</v>
      </c>
      <c r="E165" s="22" t="s">
        <v>63</v>
      </c>
      <c r="F165" s="22" t="str">
        <f>IFERROR(INDEX(Products!$B$2:$B$31,MATCH(E165,Products!$A$2:$A$31,0)),"Unknown")</f>
        <v>Power Bank</v>
      </c>
      <c r="G165" s="22" t="str">
        <f>IFERROR(INDEX(Products!$C$2:$C$31,MATCH(E165,Products!$A$2:$A$31,0)),"Unknown")</f>
        <v>Electronics</v>
      </c>
      <c r="H165" s="23">
        <v>45524</v>
      </c>
      <c r="I165" s="22">
        <f t="shared" si="16"/>
        <v>8</v>
      </c>
      <c r="J165" s="22" t="str">
        <f t="shared" si="17"/>
        <v>Aug</v>
      </c>
      <c r="K165" s="22" t="str">
        <f t="shared" si="18"/>
        <v>Q3</v>
      </c>
      <c r="L165" s="22">
        <v>2</v>
      </c>
      <c r="M165" s="24">
        <v>1044.2</v>
      </c>
      <c r="N165" s="25">
        <v>0.15</v>
      </c>
      <c r="O165" s="24">
        <f>IFERROR(INDEX(Products!$D$2:$D$31,MATCH(E165,Products!$A$2:$A$31,0)),0)</f>
        <v>721.01</v>
      </c>
      <c r="P165" s="24">
        <f t="shared" si="19"/>
        <v>1775.14</v>
      </c>
      <c r="Q165" s="24">
        <f t="shared" si="20"/>
        <v>333.12</v>
      </c>
      <c r="R165" s="26">
        <f t="shared" si="21"/>
        <v>0.18765843820769065</v>
      </c>
      <c r="S165" s="22" t="str">
        <f t="shared" si="22"/>
        <v>Regular</v>
      </c>
      <c r="T165" s="27" t="str">
        <f t="shared" si="23"/>
        <v>Medium</v>
      </c>
    </row>
    <row r="166" spans="1:20" ht="14.25" customHeight="1" x14ac:dyDescent="0.3">
      <c r="A166" s="21" t="s">
        <v>275</v>
      </c>
      <c r="B166" s="22" t="s">
        <v>158</v>
      </c>
      <c r="C166" s="22" t="str">
        <f>IFERROR(INDEX(Customers!$B$2:$B$31,MATCH(B166,Customers!$A$2:$A$31,0)),"Unknown")</f>
        <v>Kiara Khan</v>
      </c>
      <c r="D166" s="22" t="str">
        <f>IFERROR(INDEX(Customers!$D$2:$D$31,MATCH(B166,Customers!$A$2:$A$31,0)),"Unknown")</f>
        <v>Central</v>
      </c>
      <c r="E166" s="22" t="s">
        <v>177</v>
      </c>
      <c r="F166" s="22" t="str">
        <f>IFERROR(INDEX(Products!$B$2:$B$31,MATCH(E166,Products!$A$2:$A$31,0)),"Unknown")</f>
        <v>Sports Shorts</v>
      </c>
      <c r="G166" s="22" t="str">
        <f>IFERROR(INDEX(Products!$C$2:$C$31,MATCH(E166,Products!$A$2:$A$31,0)),"Unknown")</f>
        <v>Apparel</v>
      </c>
      <c r="H166" s="23">
        <v>45524</v>
      </c>
      <c r="I166" s="22">
        <f t="shared" si="16"/>
        <v>8</v>
      </c>
      <c r="J166" s="22" t="str">
        <f t="shared" si="17"/>
        <v>Aug</v>
      </c>
      <c r="K166" s="22" t="str">
        <f t="shared" si="18"/>
        <v>Q3</v>
      </c>
      <c r="L166" s="22">
        <v>7</v>
      </c>
      <c r="M166" s="24">
        <v>1250.24</v>
      </c>
      <c r="N166" s="25">
        <v>0.15</v>
      </c>
      <c r="O166" s="24">
        <f>IFERROR(INDEX(Products!$D$2:$D$31,MATCH(E166,Products!$A$2:$A$31,0)),0)</f>
        <v>1046.55</v>
      </c>
      <c r="P166" s="24">
        <f t="shared" si="19"/>
        <v>7438.93</v>
      </c>
      <c r="Q166" s="24">
        <f t="shared" si="20"/>
        <v>113.08</v>
      </c>
      <c r="R166" s="26">
        <f t="shared" si="21"/>
        <v>1.5201110912456494E-2</v>
      </c>
      <c r="S166" s="22" t="str">
        <f t="shared" si="22"/>
        <v>Bulk</v>
      </c>
      <c r="T166" s="27" t="str">
        <f t="shared" si="23"/>
        <v>Low</v>
      </c>
    </row>
    <row r="167" spans="1:20" ht="14.25" customHeight="1" x14ac:dyDescent="0.3">
      <c r="A167" s="21" t="s">
        <v>276</v>
      </c>
      <c r="B167" s="22" t="s">
        <v>76</v>
      </c>
      <c r="C167" s="22" t="str">
        <f>IFERROR(INDEX(Customers!$B$2:$B$31,MATCH(B167,Customers!$A$2:$A$31,0)),"Unknown")</f>
        <v>Aisha Sharma</v>
      </c>
      <c r="D167" s="22" t="str">
        <f>IFERROR(INDEX(Customers!$D$2:$D$31,MATCH(B167,Customers!$A$2:$A$31,0)),"Unknown")</f>
        <v>Central</v>
      </c>
      <c r="E167" s="22" t="s">
        <v>69</v>
      </c>
      <c r="F167" s="22" t="str">
        <f>IFERROR(INDEX(Products!$B$2:$B$31,MATCH(E167,Products!$A$2:$A$31,0)),"Unknown")</f>
        <v>Non-Stick Pan</v>
      </c>
      <c r="G167" s="22" t="str">
        <f>IFERROR(INDEX(Products!$C$2:$C$31,MATCH(E167,Products!$A$2:$A$31,0)),"Unknown")</f>
        <v>Home &amp; Kitchen</v>
      </c>
      <c r="H167" s="23">
        <v>45524</v>
      </c>
      <c r="I167" s="22">
        <f t="shared" si="16"/>
        <v>8</v>
      </c>
      <c r="J167" s="22" t="str">
        <f t="shared" si="17"/>
        <v>Aug</v>
      </c>
      <c r="K167" s="22" t="str">
        <f t="shared" si="18"/>
        <v>Q3</v>
      </c>
      <c r="L167" s="22">
        <v>7</v>
      </c>
      <c r="M167" s="24">
        <v>816.71</v>
      </c>
      <c r="N167" s="25">
        <v>0</v>
      </c>
      <c r="O167" s="24">
        <f>IFERROR(INDEX(Products!$D$2:$D$31,MATCH(E167,Products!$A$2:$A$31,0)),0)</f>
        <v>610.76</v>
      </c>
      <c r="P167" s="24">
        <f t="shared" si="19"/>
        <v>5716.97</v>
      </c>
      <c r="Q167" s="24">
        <f t="shared" si="20"/>
        <v>1441.65</v>
      </c>
      <c r="R167" s="26">
        <f t="shared" si="21"/>
        <v>0.25217029300486099</v>
      </c>
      <c r="S167" s="22" t="str">
        <f t="shared" si="22"/>
        <v>Bulk</v>
      </c>
      <c r="T167" s="27" t="str">
        <f t="shared" si="23"/>
        <v>Medium</v>
      </c>
    </row>
    <row r="168" spans="1:20" ht="14.25" customHeight="1" x14ac:dyDescent="0.3">
      <c r="A168" s="21" t="s">
        <v>277</v>
      </c>
      <c r="B168" s="22" t="s">
        <v>62</v>
      </c>
      <c r="C168" s="22" t="str">
        <f>IFERROR(INDEX(Customers!$B$2:$B$31,MATCH(B168,Customers!$A$2:$A$31,0)),"Unknown")</f>
        <v>Ira Singh</v>
      </c>
      <c r="D168" s="22" t="str">
        <f>IFERROR(INDEX(Customers!$D$2:$D$31,MATCH(B168,Customers!$A$2:$A$31,0)),"Unknown")</f>
        <v>West</v>
      </c>
      <c r="E168" s="22" t="s">
        <v>163</v>
      </c>
      <c r="F168" s="22" t="str">
        <f>IFERROR(INDEX(Products!$B$2:$B$31,MATCH(E168,Products!$A$2:$A$31,0)),"Unknown")</f>
        <v>Formal Shirt</v>
      </c>
      <c r="G168" s="22" t="str">
        <f>IFERROR(INDEX(Products!$C$2:$C$31,MATCH(E168,Products!$A$2:$A$31,0)),"Unknown")</f>
        <v>Apparel</v>
      </c>
      <c r="H168" s="23">
        <v>45525</v>
      </c>
      <c r="I168" s="22">
        <f t="shared" si="16"/>
        <v>8</v>
      </c>
      <c r="J168" s="22" t="str">
        <f t="shared" si="17"/>
        <v>Aug</v>
      </c>
      <c r="K168" s="22" t="str">
        <f t="shared" si="18"/>
        <v>Q3</v>
      </c>
      <c r="L168" s="22">
        <v>3</v>
      </c>
      <c r="M168" s="24">
        <v>1976.91</v>
      </c>
      <c r="N168" s="25">
        <v>0.1</v>
      </c>
      <c r="O168" s="24">
        <f>IFERROR(INDEX(Products!$D$2:$D$31,MATCH(E168,Products!$A$2:$A$31,0)),0)</f>
        <v>1494.7</v>
      </c>
      <c r="P168" s="24">
        <f t="shared" si="19"/>
        <v>5337.66</v>
      </c>
      <c r="Q168" s="24">
        <f t="shared" si="20"/>
        <v>853.56</v>
      </c>
      <c r="R168" s="26">
        <f t="shared" si="21"/>
        <v>0.1599127707647171</v>
      </c>
      <c r="S168" s="22" t="str">
        <f t="shared" si="22"/>
        <v>Regular</v>
      </c>
      <c r="T168" s="27" t="str">
        <f t="shared" si="23"/>
        <v>Medium</v>
      </c>
    </row>
    <row r="169" spans="1:20" ht="14.25" customHeight="1" x14ac:dyDescent="0.3">
      <c r="A169" s="21" t="s">
        <v>278</v>
      </c>
      <c r="B169" s="22" t="s">
        <v>110</v>
      </c>
      <c r="C169" s="22" t="str">
        <f>IFERROR(INDEX(Customers!$B$2:$B$31,MATCH(B169,Customers!$A$2:$A$31,0)),"Unknown")</f>
        <v>Kiara Iyer</v>
      </c>
      <c r="D169" s="22" t="str">
        <f>IFERROR(INDEX(Customers!$D$2:$D$31,MATCH(B169,Customers!$A$2:$A$31,0)),"Unknown")</f>
        <v>Central</v>
      </c>
      <c r="E169" s="22" t="s">
        <v>60</v>
      </c>
      <c r="F169" s="22" t="str">
        <f>IFERROR(INDEX(Products!$B$2:$B$31,MATCH(E169,Products!$A$2:$A$31,0)),"Unknown")</f>
        <v>Self-Help Book</v>
      </c>
      <c r="G169" s="22" t="str">
        <f>IFERROR(INDEX(Products!$C$2:$C$31,MATCH(E169,Products!$A$2:$A$31,0)),"Unknown")</f>
        <v>Books</v>
      </c>
      <c r="H169" s="23">
        <v>45525</v>
      </c>
      <c r="I169" s="22">
        <f t="shared" si="16"/>
        <v>8</v>
      </c>
      <c r="J169" s="22" t="str">
        <f t="shared" si="17"/>
        <v>Aug</v>
      </c>
      <c r="K169" s="22" t="str">
        <f t="shared" si="18"/>
        <v>Q3</v>
      </c>
      <c r="L169" s="22">
        <v>1</v>
      </c>
      <c r="M169" s="24">
        <v>2357.83</v>
      </c>
      <c r="N169" s="25">
        <v>0.05</v>
      </c>
      <c r="O169" s="24">
        <f>IFERROR(INDEX(Products!$D$2:$D$31,MATCH(E169,Products!$A$2:$A$31,0)),0)</f>
        <v>1598.42</v>
      </c>
      <c r="P169" s="24">
        <f t="shared" si="19"/>
        <v>2239.94</v>
      </c>
      <c r="Q169" s="24">
        <f t="shared" si="20"/>
        <v>641.52</v>
      </c>
      <c r="R169" s="26">
        <f t="shared" si="21"/>
        <v>0.28640052858558712</v>
      </c>
      <c r="S169" s="22" t="str">
        <f t="shared" si="22"/>
        <v>Regular</v>
      </c>
      <c r="T169" s="27" t="str">
        <f t="shared" si="23"/>
        <v>Medium</v>
      </c>
    </row>
    <row r="170" spans="1:20" ht="14.25" customHeight="1" x14ac:dyDescent="0.3">
      <c r="A170" s="21" t="s">
        <v>279</v>
      </c>
      <c r="B170" s="22" t="s">
        <v>107</v>
      </c>
      <c r="C170" s="22" t="str">
        <f>IFERROR(INDEX(Customers!$B$2:$B$31,MATCH(B170,Customers!$A$2:$A$31,0)),"Unknown")</f>
        <v>Mohammed Gupta</v>
      </c>
      <c r="D170" s="22" t="str">
        <f>IFERROR(INDEX(Customers!$D$2:$D$31,MATCH(B170,Customers!$A$2:$A$31,0)),"Unknown")</f>
        <v>North</v>
      </c>
      <c r="E170" s="22" t="s">
        <v>82</v>
      </c>
      <c r="F170" s="22" t="str">
        <f>IFERROR(INDEX(Products!$B$2:$B$31,MATCH(E170,Products!$A$2:$A$31,0)),"Unknown")</f>
        <v>Hoodie</v>
      </c>
      <c r="G170" s="22" t="str">
        <f>IFERROR(INDEX(Products!$C$2:$C$31,MATCH(E170,Products!$A$2:$A$31,0)),"Unknown")</f>
        <v>Apparel</v>
      </c>
      <c r="H170" s="23">
        <v>45525</v>
      </c>
      <c r="I170" s="22">
        <f t="shared" si="16"/>
        <v>8</v>
      </c>
      <c r="J170" s="22" t="str">
        <f t="shared" si="17"/>
        <v>Aug</v>
      </c>
      <c r="K170" s="22" t="str">
        <f t="shared" si="18"/>
        <v>Q3</v>
      </c>
      <c r="L170" s="22">
        <v>5</v>
      </c>
      <c r="M170" s="24">
        <v>2792.59</v>
      </c>
      <c r="N170" s="25">
        <v>0.05</v>
      </c>
      <c r="O170" s="24">
        <f>IFERROR(INDEX(Products!$D$2:$D$31,MATCH(E170,Products!$A$2:$A$31,0)),0)</f>
        <v>2252.73</v>
      </c>
      <c r="P170" s="24">
        <f t="shared" si="19"/>
        <v>13264.8</v>
      </c>
      <c r="Q170" s="24">
        <f t="shared" si="20"/>
        <v>2001.15</v>
      </c>
      <c r="R170" s="26">
        <f t="shared" si="21"/>
        <v>0.15086167903021533</v>
      </c>
      <c r="S170" s="22" t="str">
        <f t="shared" si="22"/>
        <v>Bulk</v>
      </c>
      <c r="T170" s="27" t="str">
        <f t="shared" si="23"/>
        <v>Medium</v>
      </c>
    </row>
    <row r="171" spans="1:20" ht="14.25" customHeight="1" x14ac:dyDescent="0.3">
      <c r="A171" s="21" t="s">
        <v>280</v>
      </c>
      <c r="B171" s="22" t="s">
        <v>71</v>
      </c>
      <c r="C171" s="22" t="str">
        <f>IFERROR(INDEX(Customers!$B$2:$B$31,MATCH(B171,Customers!$A$2:$A$31,0)),"Unknown")</f>
        <v>Imran Mehta</v>
      </c>
      <c r="D171" s="22" t="str">
        <f>IFERROR(INDEX(Customers!$D$2:$D$31,MATCH(B171,Customers!$A$2:$A$31,0)),"Unknown")</f>
        <v>Central</v>
      </c>
      <c r="E171" s="22" t="s">
        <v>72</v>
      </c>
      <c r="F171" s="22" t="str">
        <f>IFERROR(INDEX(Products!$B$2:$B$31,MATCH(E171,Products!$A$2:$A$31,0)),"Unknown")</f>
        <v>Cricket Bat</v>
      </c>
      <c r="G171" s="22" t="str">
        <f>IFERROR(INDEX(Products!$C$2:$C$31,MATCH(E171,Products!$A$2:$A$31,0)),"Unknown")</f>
        <v>Sports</v>
      </c>
      <c r="H171" s="23">
        <v>45527</v>
      </c>
      <c r="I171" s="22">
        <f t="shared" si="16"/>
        <v>8</v>
      </c>
      <c r="J171" s="22" t="str">
        <f t="shared" si="17"/>
        <v>Aug</v>
      </c>
      <c r="K171" s="22" t="str">
        <f t="shared" si="18"/>
        <v>Q3</v>
      </c>
      <c r="L171" s="22">
        <v>6</v>
      </c>
      <c r="M171" s="24">
        <v>2348.29</v>
      </c>
      <c r="N171" s="25">
        <v>0.2</v>
      </c>
      <c r="O171" s="24">
        <f>IFERROR(INDEX(Products!$D$2:$D$31,MATCH(E171,Products!$A$2:$A$31,0)),0)</f>
        <v>1824.15</v>
      </c>
      <c r="P171" s="24">
        <f t="shared" si="19"/>
        <v>11271.79</v>
      </c>
      <c r="Q171" s="24">
        <f t="shared" si="20"/>
        <v>326.89</v>
      </c>
      <c r="R171" s="26">
        <f t="shared" si="21"/>
        <v>2.9000717720965345E-2</v>
      </c>
      <c r="S171" s="22" t="str">
        <f t="shared" si="22"/>
        <v>Bulk</v>
      </c>
      <c r="T171" s="27" t="str">
        <f t="shared" si="23"/>
        <v>Low</v>
      </c>
    </row>
    <row r="172" spans="1:20" ht="14.25" customHeight="1" x14ac:dyDescent="0.3">
      <c r="A172" s="21" t="s">
        <v>281</v>
      </c>
      <c r="B172" s="22" t="s">
        <v>84</v>
      </c>
      <c r="C172" s="22" t="str">
        <f>IFERROR(INDEX(Customers!$B$2:$B$31,MATCH(B172,Customers!$A$2:$A$31,0)),"Unknown")</f>
        <v>Aditya Khan</v>
      </c>
      <c r="D172" s="22" t="str">
        <f>IFERROR(INDEX(Customers!$D$2:$D$31,MATCH(B172,Customers!$A$2:$A$31,0)),"Unknown")</f>
        <v>North</v>
      </c>
      <c r="E172" s="22" t="s">
        <v>172</v>
      </c>
      <c r="F172" s="22" t="str">
        <f>IFERROR(INDEX(Products!$B$2:$B$31,MATCH(E172,Products!$A$2:$A$31,0)),"Unknown")</f>
        <v>Football</v>
      </c>
      <c r="G172" s="22" t="str">
        <f>IFERROR(INDEX(Products!$C$2:$C$31,MATCH(E172,Products!$A$2:$A$31,0)),"Unknown")</f>
        <v>Sports</v>
      </c>
      <c r="H172" s="23">
        <v>45528</v>
      </c>
      <c r="I172" s="22">
        <f t="shared" si="16"/>
        <v>8</v>
      </c>
      <c r="J172" s="22" t="str">
        <f t="shared" si="17"/>
        <v>Aug</v>
      </c>
      <c r="K172" s="22" t="str">
        <f t="shared" si="18"/>
        <v>Q3</v>
      </c>
      <c r="L172" s="22">
        <v>3</v>
      </c>
      <c r="M172" s="24">
        <v>2028.34</v>
      </c>
      <c r="N172" s="25">
        <v>0.05</v>
      </c>
      <c r="O172" s="24">
        <f>IFERROR(INDEX(Products!$D$2:$D$31,MATCH(E172,Products!$A$2:$A$31,0)),0)</f>
        <v>1729.74</v>
      </c>
      <c r="P172" s="24">
        <f t="shared" si="19"/>
        <v>5780.77</v>
      </c>
      <c r="Q172" s="24">
        <f t="shared" si="20"/>
        <v>591.54999999999995</v>
      </c>
      <c r="R172" s="26">
        <f t="shared" si="21"/>
        <v>0.10233065837250054</v>
      </c>
      <c r="S172" s="22" t="str">
        <f t="shared" si="22"/>
        <v>Regular</v>
      </c>
      <c r="T172" s="27" t="str">
        <f t="shared" si="23"/>
        <v>Low</v>
      </c>
    </row>
    <row r="173" spans="1:20" ht="14.25" customHeight="1" x14ac:dyDescent="0.3">
      <c r="A173" s="21" t="s">
        <v>282</v>
      </c>
      <c r="B173" s="22" t="s">
        <v>84</v>
      </c>
      <c r="C173" s="22" t="str">
        <f>IFERROR(INDEX(Customers!$B$2:$B$31,MATCH(B173,Customers!$A$2:$A$31,0)),"Unknown")</f>
        <v>Aditya Khan</v>
      </c>
      <c r="D173" s="22" t="str">
        <f>IFERROR(INDEX(Customers!$D$2:$D$31,MATCH(B173,Customers!$A$2:$A$31,0)),"Unknown")</f>
        <v>North</v>
      </c>
      <c r="E173" s="22" t="s">
        <v>163</v>
      </c>
      <c r="F173" s="22" t="str">
        <f>IFERROR(INDEX(Products!$B$2:$B$31,MATCH(E173,Products!$A$2:$A$31,0)),"Unknown")</f>
        <v>Formal Shirt</v>
      </c>
      <c r="G173" s="22" t="str">
        <f>IFERROR(INDEX(Products!$C$2:$C$31,MATCH(E173,Products!$A$2:$A$31,0)),"Unknown")</f>
        <v>Apparel</v>
      </c>
      <c r="H173" s="23">
        <v>45528</v>
      </c>
      <c r="I173" s="22">
        <f t="shared" si="16"/>
        <v>8</v>
      </c>
      <c r="J173" s="22" t="str">
        <f t="shared" si="17"/>
        <v>Aug</v>
      </c>
      <c r="K173" s="22" t="str">
        <f t="shared" si="18"/>
        <v>Q3</v>
      </c>
      <c r="L173" s="22">
        <v>5</v>
      </c>
      <c r="M173" s="24">
        <v>2028.02</v>
      </c>
      <c r="N173" s="25">
        <v>0.15</v>
      </c>
      <c r="O173" s="24">
        <f>IFERROR(INDEX(Products!$D$2:$D$31,MATCH(E173,Products!$A$2:$A$31,0)),0)</f>
        <v>1494.7</v>
      </c>
      <c r="P173" s="24">
        <f t="shared" si="19"/>
        <v>8619.09</v>
      </c>
      <c r="Q173" s="24">
        <f t="shared" si="20"/>
        <v>1145.5899999999999</v>
      </c>
      <c r="R173" s="26">
        <f t="shared" si="21"/>
        <v>0.13291310335545864</v>
      </c>
      <c r="S173" s="22" t="str">
        <f t="shared" si="22"/>
        <v>Bulk</v>
      </c>
      <c r="T173" s="27" t="str">
        <f t="shared" si="23"/>
        <v>Low</v>
      </c>
    </row>
    <row r="174" spans="1:20" ht="14.25" customHeight="1" x14ac:dyDescent="0.3">
      <c r="A174" s="21" t="s">
        <v>283</v>
      </c>
      <c r="B174" s="22" t="s">
        <v>107</v>
      </c>
      <c r="C174" s="22" t="str">
        <f>IFERROR(INDEX(Customers!$B$2:$B$31,MATCH(B174,Customers!$A$2:$A$31,0)),"Unknown")</f>
        <v>Mohammed Gupta</v>
      </c>
      <c r="D174" s="22" t="str">
        <f>IFERROR(INDEX(Customers!$D$2:$D$31,MATCH(B174,Customers!$A$2:$A$31,0)),"Unknown")</f>
        <v>North</v>
      </c>
      <c r="E174" s="22" t="s">
        <v>60</v>
      </c>
      <c r="F174" s="22" t="str">
        <f>IFERROR(INDEX(Products!$B$2:$B$31,MATCH(E174,Products!$A$2:$A$31,0)),"Unknown")</f>
        <v>Self-Help Book</v>
      </c>
      <c r="G174" s="22" t="str">
        <f>IFERROR(INDEX(Products!$C$2:$C$31,MATCH(E174,Products!$A$2:$A$31,0)),"Unknown")</f>
        <v>Books</v>
      </c>
      <c r="H174" s="23">
        <v>45529</v>
      </c>
      <c r="I174" s="22">
        <f t="shared" si="16"/>
        <v>8</v>
      </c>
      <c r="J174" s="22" t="str">
        <f t="shared" si="17"/>
        <v>Aug</v>
      </c>
      <c r="K174" s="22" t="str">
        <f t="shared" si="18"/>
        <v>Q3</v>
      </c>
      <c r="L174" s="22">
        <v>1</v>
      </c>
      <c r="M174" s="24">
        <v>2239.12</v>
      </c>
      <c r="N174" s="25">
        <v>0.2</v>
      </c>
      <c r="O174" s="24">
        <f>IFERROR(INDEX(Products!$D$2:$D$31,MATCH(E174,Products!$A$2:$A$31,0)),0)</f>
        <v>1598.42</v>
      </c>
      <c r="P174" s="24">
        <f t="shared" si="19"/>
        <v>1791.3</v>
      </c>
      <c r="Q174" s="24">
        <f t="shared" si="20"/>
        <v>192.88</v>
      </c>
      <c r="R174" s="26">
        <f t="shared" si="21"/>
        <v>0.1076759895048289</v>
      </c>
      <c r="S174" s="22" t="str">
        <f t="shared" si="22"/>
        <v>Regular</v>
      </c>
      <c r="T174" s="27" t="str">
        <f t="shared" si="23"/>
        <v>Low</v>
      </c>
    </row>
    <row r="175" spans="1:20" ht="14.25" customHeight="1" x14ac:dyDescent="0.3">
      <c r="A175" s="21" t="s">
        <v>284</v>
      </c>
      <c r="B175" s="22" t="s">
        <v>65</v>
      </c>
      <c r="C175" s="22" t="str">
        <f>IFERROR(INDEX(Customers!$B$2:$B$31,MATCH(B175,Customers!$A$2:$A$31,0)),"Unknown")</f>
        <v>Sana Singh</v>
      </c>
      <c r="D175" s="22" t="str">
        <f>IFERROR(INDEX(Customers!$D$2:$D$31,MATCH(B175,Customers!$A$2:$A$31,0)),"Unknown")</f>
        <v>North</v>
      </c>
      <c r="E175" s="22" t="s">
        <v>80</v>
      </c>
      <c r="F175" s="22" t="str">
        <f>IFERROR(INDEX(Products!$B$2:$B$31,MATCH(E175,Products!$A$2:$A$31,0)),"Unknown")</f>
        <v>Dumbbell Set</v>
      </c>
      <c r="G175" s="22" t="str">
        <f>IFERROR(INDEX(Products!$C$2:$C$31,MATCH(E175,Products!$A$2:$A$31,0)),"Unknown")</f>
        <v>Sports</v>
      </c>
      <c r="H175" s="23">
        <v>45530</v>
      </c>
      <c r="I175" s="22">
        <f t="shared" si="16"/>
        <v>8</v>
      </c>
      <c r="J175" s="22" t="str">
        <f t="shared" si="17"/>
        <v>Aug</v>
      </c>
      <c r="K175" s="22" t="str">
        <f t="shared" si="18"/>
        <v>Q3</v>
      </c>
      <c r="L175" s="22">
        <v>5</v>
      </c>
      <c r="M175" s="24">
        <v>2007.03</v>
      </c>
      <c r="N175" s="25">
        <v>0</v>
      </c>
      <c r="O175" s="24">
        <f>IFERROR(INDEX(Products!$D$2:$D$31,MATCH(E175,Products!$A$2:$A$31,0)),0)</f>
        <v>1379.47</v>
      </c>
      <c r="P175" s="24">
        <f t="shared" si="19"/>
        <v>10035.15</v>
      </c>
      <c r="Q175" s="24">
        <f t="shared" si="20"/>
        <v>3137.8</v>
      </c>
      <c r="R175" s="26">
        <f t="shared" si="21"/>
        <v>0.31268092654320068</v>
      </c>
      <c r="S175" s="22" t="str">
        <f t="shared" si="22"/>
        <v>Bulk</v>
      </c>
      <c r="T175" s="27" t="str">
        <f t="shared" si="23"/>
        <v>High</v>
      </c>
    </row>
    <row r="176" spans="1:20" ht="14.25" customHeight="1" x14ac:dyDescent="0.3">
      <c r="A176" s="21" t="s">
        <v>285</v>
      </c>
      <c r="B176" s="22" t="s">
        <v>71</v>
      </c>
      <c r="C176" s="22" t="str">
        <f>IFERROR(INDEX(Customers!$B$2:$B$31,MATCH(B176,Customers!$A$2:$A$31,0)),"Unknown")</f>
        <v>Imran Mehta</v>
      </c>
      <c r="D176" s="22" t="str">
        <f>IFERROR(INDEX(Customers!$D$2:$D$31,MATCH(B176,Customers!$A$2:$A$31,0)),"Unknown")</f>
        <v>Central</v>
      </c>
      <c r="E176" s="22" t="s">
        <v>60</v>
      </c>
      <c r="F176" s="22" t="str">
        <f>IFERROR(INDEX(Products!$B$2:$B$31,MATCH(E176,Products!$A$2:$A$31,0)),"Unknown")</f>
        <v>Self-Help Book</v>
      </c>
      <c r="G176" s="22" t="str">
        <f>IFERROR(INDEX(Products!$C$2:$C$31,MATCH(E176,Products!$A$2:$A$31,0)),"Unknown")</f>
        <v>Books</v>
      </c>
      <c r="H176" s="23">
        <v>45534</v>
      </c>
      <c r="I176" s="22">
        <f t="shared" si="16"/>
        <v>8</v>
      </c>
      <c r="J176" s="22" t="str">
        <f t="shared" si="17"/>
        <v>Aug</v>
      </c>
      <c r="K176" s="22" t="str">
        <f t="shared" si="18"/>
        <v>Q3</v>
      </c>
      <c r="L176" s="22">
        <v>3</v>
      </c>
      <c r="M176" s="24">
        <v>2312.09</v>
      </c>
      <c r="N176" s="25">
        <v>0</v>
      </c>
      <c r="O176" s="24">
        <f>IFERROR(INDEX(Products!$D$2:$D$31,MATCH(E176,Products!$A$2:$A$31,0)),0)</f>
        <v>1598.42</v>
      </c>
      <c r="P176" s="24">
        <f t="shared" si="19"/>
        <v>6936.27</v>
      </c>
      <c r="Q176" s="24">
        <f t="shared" si="20"/>
        <v>2141.0100000000002</v>
      </c>
      <c r="R176" s="26">
        <f t="shared" si="21"/>
        <v>0.30866878019454264</v>
      </c>
      <c r="S176" s="22" t="str">
        <f t="shared" si="22"/>
        <v>Regular</v>
      </c>
      <c r="T176" s="27" t="str">
        <f t="shared" si="23"/>
        <v>High</v>
      </c>
    </row>
    <row r="177" spans="1:20" ht="14.25" customHeight="1" x14ac:dyDescent="0.3">
      <c r="A177" s="21" t="s">
        <v>286</v>
      </c>
      <c r="B177" s="22" t="s">
        <v>205</v>
      </c>
      <c r="C177" s="22" t="str">
        <f>IFERROR(INDEX(Customers!$B$2:$B$31,MATCH(B177,Customers!$A$2:$A$31,0)),"Unknown")</f>
        <v>Ayaan Kapoor</v>
      </c>
      <c r="D177" s="22" t="str">
        <f>IFERROR(INDEX(Customers!$D$2:$D$31,MATCH(B177,Customers!$A$2:$A$31,0)),"Unknown")</f>
        <v>South</v>
      </c>
      <c r="E177" s="22" t="s">
        <v>94</v>
      </c>
      <c r="F177" s="22" t="str">
        <f>IFERROR(INDEX(Products!$B$2:$B$31,MATCH(E177,Products!$A$2:$A$31,0)),"Unknown")</f>
        <v>Skipping Rope</v>
      </c>
      <c r="G177" s="22" t="str">
        <f>IFERROR(INDEX(Products!$C$2:$C$31,MATCH(E177,Products!$A$2:$A$31,0)),"Unknown")</f>
        <v>Sports</v>
      </c>
      <c r="H177" s="23">
        <v>45534</v>
      </c>
      <c r="I177" s="22">
        <f t="shared" si="16"/>
        <v>8</v>
      </c>
      <c r="J177" s="22" t="str">
        <f t="shared" si="17"/>
        <v>Aug</v>
      </c>
      <c r="K177" s="22" t="str">
        <f t="shared" si="18"/>
        <v>Q3</v>
      </c>
      <c r="L177" s="22">
        <v>2</v>
      </c>
      <c r="M177" s="24">
        <v>864.37</v>
      </c>
      <c r="N177" s="25">
        <v>0</v>
      </c>
      <c r="O177" s="24">
        <f>IFERROR(INDEX(Products!$D$2:$D$31,MATCH(E177,Products!$A$2:$A$31,0)),0)</f>
        <v>725.72</v>
      </c>
      <c r="P177" s="24">
        <f t="shared" si="19"/>
        <v>1728.74</v>
      </c>
      <c r="Q177" s="24">
        <f t="shared" si="20"/>
        <v>277.3</v>
      </c>
      <c r="R177" s="26">
        <f t="shared" si="21"/>
        <v>0.16040584471927533</v>
      </c>
      <c r="S177" s="22" t="str">
        <f t="shared" si="22"/>
        <v>Regular</v>
      </c>
      <c r="T177" s="27" t="str">
        <f t="shared" si="23"/>
        <v>Medium</v>
      </c>
    </row>
    <row r="178" spans="1:20" ht="14.25" customHeight="1" x14ac:dyDescent="0.3">
      <c r="A178" s="21" t="s">
        <v>287</v>
      </c>
      <c r="B178" s="22" t="s">
        <v>116</v>
      </c>
      <c r="C178" s="22" t="str">
        <f>IFERROR(INDEX(Customers!$B$2:$B$31,MATCH(B178,Customers!$A$2:$A$31,0)),"Unknown")</f>
        <v>Kabir Patel</v>
      </c>
      <c r="D178" s="22" t="str">
        <f>IFERROR(INDEX(Customers!$D$2:$D$31,MATCH(B178,Customers!$A$2:$A$31,0)),"Unknown")</f>
        <v>Central</v>
      </c>
      <c r="E178" s="22" t="s">
        <v>155</v>
      </c>
      <c r="F178" s="22" t="str">
        <f>IFERROR(INDEX(Products!$B$2:$B$31,MATCH(E178,Products!$A$2:$A$31,0)),"Unknown")</f>
        <v>Lipstick</v>
      </c>
      <c r="G178" s="22" t="str">
        <f>IFERROR(INDEX(Products!$C$2:$C$31,MATCH(E178,Products!$A$2:$A$31,0)),"Unknown")</f>
        <v>Beauty</v>
      </c>
      <c r="H178" s="23">
        <v>45535</v>
      </c>
      <c r="I178" s="22">
        <f t="shared" si="16"/>
        <v>8</v>
      </c>
      <c r="J178" s="22" t="str">
        <f t="shared" si="17"/>
        <v>Aug</v>
      </c>
      <c r="K178" s="22" t="str">
        <f t="shared" si="18"/>
        <v>Q3</v>
      </c>
      <c r="L178" s="22">
        <v>8</v>
      </c>
      <c r="M178" s="24">
        <v>1838.9</v>
      </c>
      <c r="N178" s="25">
        <v>0</v>
      </c>
      <c r="O178" s="24">
        <f>IFERROR(INDEX(Products!$D$2:$D$31,MATCH(E178,Products!$A$2:$A$31,0)),0)</f>
        <v>1360.46</v>
      </c>
      <c r="P178" s="24">
        <f t="shared" si="19"/>
        <v>14711.2</v>
      </c>
      <c r="Q178" s="24">
        <f t="shared" si="20"/>
        <v>3827.52</v>
      </c>
      <c r="R178" s="26">
        <f t="shared" si="21"/>
        <v>0.26017727989558975</v>
      </c>
      <c r="S178" s="22" t="str">
        <f t="shared" si="22"/>
        <v>Bulk</v>
      </c>
      <c r="T178" s="27" t="str">
        <f t="shared" si="23"/>
        <v>Medium</v>
      </c>
    </row>
    <row r="179" spans="1:20" ht="14.25" customHeight="1" x14ac:dyDescent="0.3">
      <c r="A179" s="21" t="s">
        <v>288</v>
      </c>
      <c r="B179" s="22" t="s">
        <v>199</v>
      </c>
      <c r="C179" s="22" t="str">
        <f>IFERROR(INDEX(Customers!$B$2:$B$31,MATCH(B179,Customers!$A$2:$A$31,0)),"Unknown")</f>
        <v>Sai Kapoor</v>
      </c>
      <c r="D179" s="22" t="str">
        <f>IFERROR(INDEX(Customers!$D$2:$D$31,MATCH(B179,Customers!$A$2:$A$31,0)),"Unknown")</f>
        <v>South</v>
      </c>
      <c r="E179" s="22" t="s">
        <v>120</v>
      </c>
      <c r="F179" s="22" t="str">
        <f>IFERROR(INDEX(Products!$B$2:$B$31,MATCH(E179,Products!$A$2:$A$31,0)),"Unknown")</f>
        <v>Kids Story Book</v>
      </c>
      <c r="G179" s="22" t="str">
        <f>IFERROR(INDEX(Products!$C$2:$C$31,MATCH(E179,Products!$A$2:$A$31,0)),"Unknown")</f>
        <v>Books</v>
      </c>
      <c r="H179" s="23">
        <v>45536</v>
      </c>
      <c r="I179" s="22">
        <f t="shared" si="16"/>
        <v>9</v>
      </c>
      <c r="J179" s="22" t="str">
        <f t="shared" si="17"/>
        <v>Sep</v>
      </c>
      <c r="K179" s="22" t="str">
        <f t="shared" si="18"/>
        <v>Q3</v>
      </c>
      <c r="L179" s="22">
        <v>3</v>
      </c>
      <c r="M179" s="24">
        <v>1295.07</v>
      </c>
      <c r="N179" s="25">
        <v>0.1</v>
      </c>
      <c r="O179" s="24">
        <f>IFERROR(INDEX(Products!$D$2:$D$31,MATCH(E179,Products!$A$2:$A$31,0)),0)</f>
        <v>1101.6300000000001</v>
      </c>
      <c r="P179" s="24">
        <f t="shared" si="19"/>
        <v>3496.69</v>
      </c>
      <c r="Q179" s="24">
        <f t="shared" si="20"/>
        <v>191.8</v>
      </c>
      <c r="R179" s="26">
        <f t="shared" si="21"/>
        <v>5.4851874201030118E-2</v>
      </c>
      <c r="S179" s="22" t="str">
        <f t="shared" si="22"/>
        <v>Regular</v>
      </c>
      <c r="T179" s="27" t="str">
        <f t="shared" si="23"/>
        <v>Low</v>
      </c>
    </row>
    <row r="180" spans="1:20" ht="14.25" customHeight="1" x14ac:dyDescent="0.3">
      <c r="A180" s="21" t="s">
        <v>289</v>
      </c>
      <c r="B180" s="22" t="s">
        <v>68</v>
      </c>
      <c r="C180" s="22" t="str">
        <f>IFERROR(INDEX(Customers!$B$2:$B$31,MATCH(B180,Customers!$A$2:$A$31,0)),"Unknown")</f>
        <v>Neha Khan</v>
      </c>
      <c r="D180" s="22" t="str">
        <f>IFERROR(INDEX(Customers!$D$2:$D$31,MATCH(B180,Customers!$A$2:$A$31,0)),"Unknown")</f>
        <v>East</v>
      </c>
      <c r="E180" s="22" t="s">
        <v>102</v>
      </c>
      <c r="F180" s="22" t="str">
        <f>IFERROR(INDEX(Products!$B$2:$B$31,MATCH(E180,Products!$A$2:$A$31,0)),"Unknown")</f>
        <v>Storage Jars Set</v>
      </c>
      <c r="G180" s="22" t="str">
        <f>IFERROR(INDEX(Products!$C$2:$C$31,MATCH(E180,Products!$A$2:$A$31,0)),"Unknown")</f>
        <v>Home &amp; Kitchen</v>
      </c>
      <c r="H180" s="23">
        <v>45536</v>
      </c>
      <c r="I180" s="22">
        <f t="shared" si="16"/>
        <v>9</v>
      </c>
      <c r="J180" s="22" t="str">
        <f t="shared" si="17"/>
        <v>Sep</v>
      </c>
      <c r="K180" s="22" t="str">
        <f t="shared" si="18"/>
        <v>Q3</v>
      </c>
      <c r="L180" s="22">
        <v>1</v>
      </c>
      <c r="M180" s="24">
        <v>2067.0500000000002</v>
      </c>
      <c r="N180" s="25">
        <v>0</v>
      </c>
      <c r="O180" s="24">
        <f>IFERROR(INDEX(Products!$D$2:$D$31,MATCH(E180,Products!$A$2:$A$31,0)),0)</f>
        <v>1313.05</v>
      </c>
      <c r="P180" s="24">
        <f t="shared" si="19"/>
        <v>2067.0500000000002</v>
      </c>
      <c r="Q180" s="24">
        <f t="shared" si="20"/>
        <v>754</v>
      </c>
      <c r="R180" s="26">
        <f t="shared" si="21"/>
        <v>0.36477105053094988</v>
      </c>
      <c r="S180" s="22" t="str">
        <f t="shared" si="22"/>
        <v>Regular</v>
      </c>
      <c r="T180" s="27" t="str">
        <f t="shared" si="23"/>
        <v>High</v>
      </c>
    </row>
    <row r="181" spans="1:20" ht="14.25" customHeight="1" x14ac:dyDescent="0.3">
      <c r="A181" s="21" t="s">
        <v>290</v>
      </c>
      <c r="B181" s="22" t="s">
        <v>93</v>
      </c>
      <c r="C181" s="22" t="str">
        <f>IFERROR(INDEX(Customers!$B$2:$B$31,MATCH(B181,Customers!$A$2:$A$31,0)),"Unknown")</f>
        <v>Karan Kapoor</v>
      </c>
      <c r="D181" s="22" t="str">
        <f>IFERROR(INDEX(Customers!$D$2:$D$31,MATCH(B181,Customers!$A$2:$A$31,0)),"Unknown")</f>
        <v>South</v>
      </c>
      <c r="E181" s="22" t="s">
        <v>155</v>
      </c>
      <c r="F181" s="22" t="str">
        <f>IFERROR(INDEX(Products!$B$2:$B$31,MATCH(E181,Products!$A$2:$A$31,0)),"Unknown")</f>
        <v>Lipstick</v>
      </c>
      <c r="G181" s="22" t="str">
        <f>IFERROR(INDEX(Products!$C$2:$C$31,MATCH(E181,Products!$A$2:$A$31,0)),"Unknown")</f>
        <v>Beauty</v>
      </c>
      <c r="H181" s="23">
        <v>45540</v>
      </c>
      <c r="I181" s="22">
        <f t="shared" si="16"/>
        <v>9</v>
      </c>
      <c r="J181" s="22" t="str">
        <f t="shared" si="17"/>
        <v>Sep</v>
      </c>
      <c r="K181" s="22" t="str">
        <f t="shared" si="18"/>
        <v>Q3</v>
      </c>
      <c r="L181" s="22">
        <v>2</v>
      </c>
      <c r="M181" s="24">
        <v>1582.2</v>
      </c>
      <c r="N181" s="25">
        <v>0.15</v>
      </c>
      <c r="O181" s="24">
        <f>IFERROR(INDEX(Products!$D$2:$D$31,MATCH(E181,Products!$A$2:$A$31,0)),0)</f>
        <v>1360.46</v>
      </c>
      <c r="P181" s="24">
        <f t="shared" si="19"/>
        <v>2689.74</v>
      </c>
      <c r="Q181" s="24">
        <f t="shared" si="20"/>
        <v>-31.18</v>
      </c>
      <c r="R181" s="26">
        <f t="shared" si="21"/>
        <v>-1.1592198502457487E-2</v>
      </c>
      <c r="S181" s="22" t="str">
        <f t="shared" si="22"/>
        <v>Regular</v>
      </c>
      <c r="T181" s="27" t="str">
        <f t="shared" si="23"/>
        <v>Low</v>
      </c>
    </row>
    <row r="182" spans="1:20" ht="14.25" customHeight="1" x14ac:dyDescent="0.3">
      <c r="A182" s="21" t="s">
        <v>291</v>
      </c>
      <c r="B182" s="22" t="s">
        <v>107</v>
      </c>
      <c r="C182" s="22" t="str">
        <f>IFERROR(INDEX(Customers!$B$2:$B$31,MATCH(B182,Customers!$A$2:$A$31,0)),"Unknown")</f>
        <v>Mohammed Gupta</v>
      </c>
      <c r="D182" s="22" t="str">
        <f>IFERROR(INDEX(Customers!$D$2:$D$31,MATCH(B182,Customers!$A$2:$A$31,0)),"Unknown")</f>
        <v>North</v>
      </c>
      <c r="E182" s="22" t="s">
        <v>80</v>
      </c>
      <c r="F182" s="22" t="str">
        <f>IFERROR(INDEX(Products!$B$2:$B$31,MATCH(E182,Products!$A$2:$A$31,0)),"Unknown")</f>
        <v>Dumbbell Set</v>
      </c>
      <c r="G182" s="22" t="str">
        <f>IFERROR(INDEX(Products!$C$2:$C$31,MATCH(E182,Products!$A$2:$A$31,0)),"Unknown")</f>
        <v>Sports</v>
      </c>
      <c r="H182" s="23">
        <v>45541</v>
      </c>
      <c r="I182" s="22">
        <f t="shared" si="16"/>
        <v>9</v>
      </c>
      <c r="J182" s="22" t="str">
        <f t="shared" si="17"/>
        <v>Sep</v>
      </c>
      <c r="K182" s="22" t="str">
        <f t="shared" si="18"/>
        <v>Q3</v>
      </c>
      <c r="L182" s="22">
        <v>1</v>
      </c>
      <c r="M182" s="24">
        <v>1969.69</v>
      </c>
      <c r="N182" s="25">
        <v>0</v>
      </c>
      <c r="O182" s="24">
        <f>IFERROR(INDEX(Products!$D$2:$D$31,MATCH(E182,Products!$A$2:$A$31,0)),0)</f>
        <v>1379.47</v>
      </c>
      <c r="P182" s="24">
        <f t="shared" si="19"/>
        <v>1969.69</v>
      </c>
      <c r="Q182" s="24">
        <f t="shared" si="20"/>
        <v>590.22</v>
      </c>
      <c r="R182" s="26">
        <f t="shared" si="21"/>
        <v>0.2996512141504501</v>
      </c>
      <c r="S182" s="22" t="str">
        <f t="shared" si="22"/>
        <v>Regular</v>
      </c>
      <c r="T182" s="27" t="str">
        <f t="shared" si="23"/>
        <v>Medium</v>
      </c>
    </row>
    <row r="183" spans="1:20" ht="14.25" customHeight="1" x14ac:dyDescent="0.3">
      <c r="A183" s="21" t="s">
        <v>292</v>
      </c>
      <c r="B183" s="22" t="s">
        <v>107</v>
      </c>
      <c r="C183" s="22" t="str">
        <f>IFERROR(INDEX(Customers!$B$2:$B$31,MATCH(B183,Customers!$A$2:$A$31,0)),"Unknown")</f>
        <v>Mohammed Gupta</v>
      </c>
      <c r="D183" s="22" t="str">
        <f>IFERROR(INDEX(Customers!$D$2:$D$31,MATCH(B183,Customers!$A$2:$A$31,0)),"Unknown")</f>
        <v>North</v>
      </c>
      <c r="E183" s="22" t="s">
        <v>163</v>
      </c>
      <c r="F183" s="22" t="str">
        <f>IFERROR(INDEX(Products!$B$2:$B$31,MATCH(E183,Products!$A$2:$A$31,0)),"Unknown")</f>
        <v>Formal Shirt</v>
      </c>
      <c r="G183" s="22" t="str">
        <f>IFERROR(INDEX(Products!$C$2:$C$31,MATCH(E183,Products!$A$2:$A$31,0)),"Unknown")</f>
        <v>Apparel</v>
      </c>
      <c r="H183" s="23">
        <v>45548</v>
      </c>
      <c r="I183" s="22">
        <f t="shared" si="16"/>
        <v>9</v>
      </c>
      <c r="J183" s="22" t="str">
        <f t="shared" si="17"/>
        <v>Sep</v>
      </c>
      <c r="K183" s="22" t="str">
        <f t="shared" si="18"/>
        <v>Q3</v>
      </c>
      <c r="L183" s="22">
        <v>6</v>
      </c>
      <c r="M183" s="24">
        <v>1767.38</v>
      </c>
      <c r="N183" s="25">
        <v>0.2</v>
      </c>
      <c r="O183" s="24">
        <f>IFERROR(INDEX(Products!$D$2:$D$31,MATCH(E183,Products!$A$2:$A$31,0)),0)</f>
        <v>1494.7</v>
      </c>
      <c r="P183" s="24">
        <f t="shared" si="19"/>
        <v>8483.42</v>
      </c>
      <c r="Q183" s="24">
        <f t="shared" si="20"/>
        <v>-484.78</v>
      </c>
      <c r="R183" s="26">
        <f t="shared" si="21"/>
        <v>-5.7144406383274664E-2</v>
      </c>
      <c r="S183" s="22" t="str">
        <f t="shared" si="22"/>
        <v>Bulk</v>
      </c>
      <c r="T183" s="27" t="str">
        <f t="shared" si="23"/>
        <v>Low</v>
      </c>
    </row>
    <row r="184" spans="1:20" ht="14.25" customHeight="1" x14ac:dyDescent="0.3">
      <c r="A184" s="21" t="s">
        <v>293</v>
      </c>
      <c r="B184" s="22" t="s">
        <v>96</v>
      </c>
      <c r="C184" s="22" t="str">
        <f>IFERROR(INDEX(Customers!$B$2:$B$31,MATCH(B184,Customers!$A$2:$A$31,0)),"Unknown")</f>
        <v>Sai Khan</v>
      </c>
      <c r="D184" s="22" t="str">
        <f>IFERROR(INDEX(Customers!$D$2:$D$31,MATCH(B184,Customers!$A$2:$A$31,0)),"Unknown")</f>
        <v>East</v>
      </c>
      <c r="E184" s="22" t="s">
        <v>57</v>
      </c>
      <c r="F184" s="22" t="str">
        <f>IFERROR(INDEX(Products!$B$2:$B$31,MATCH(E184,Products!$A$2:$A$31,0)),"Unknown")</f>
        <v>Smartwatch</v>
      </c>
      <c r="G184" s="22" t="str">
        <f>IFERROR(INDEX(Products!$C$2:$C$31,MATCH(E184,Products!$A$2:$A$31,0)),"Unknown")</f>
        <v>Electronics</v>
      </c>
      <c r="H184" s="23">
        <v>45555</v>
      </c>
      <c r="I184" s="22">
        <f t="shared" si="16"/>
        <v>9</v>
      </c>
      <c r="J184" s="22" t="str">
        <f t="shared" si="17"/>
        <v>Sep</v>
      </c>
      <c r="K184" s="22" t="str">
        <f t="shared" si="18"/>
        <v>Q3</v>
      </c>
      <c r="L184" s="22">
        <v>4</v>
      </c>
      <c r="M184" s="24">
        <v>1518.16</v>
      </c>
      <c r="N184" s="25">
        <v>0.05</v>
      </c>
      <c r="O184" s="24">
        <f>IFERROR(INDEX(Products!$D$2:$D$31,MATCH(E184,Products!$A$2:$A$31,0)),0)</f>
        <v>1190.42</v>
      </c>
      <c r="P184" s="24">
        <f t="shared" si="19"/>
        <v>5769.01</v>
      </c>
      <c r="Q184" s="24">
        <f t="shared" si="20"/>
        <v>1007.33</v>
      </c>
      <c r="R184" s="26">
        <f t="shared" si="21"/>
        <v>0.17461054843031992</v>
      </c>
      <c r="S184" s="22" t="str">
        <f t="shared" si="22"/>
        <v>Regular</v>
      </c>
      <c r="T184" s="27" t="str">
        <f t="shared" si="23"/>
        <v>Medium</v>
      </c>
    </row>
    <row r="185" spans="1:20" ht="14.25" customHeight="1" x14ac:dyDescent="0.3">
      <c r="A185" s="21" t="s">
        <v>294</v>
      </c>
      <c r="B185" s="22" t="s">
        <v>76</v>
      </c>
      <c r="C185" s="22" t="str">
        <f>IFERROR(INDEX(Customers!$B$2:$B$31,MATCH(B185,Customers!$A$2:$A$31,0)),"Unknown")</f>
        <v>Aisha Sharma</v>
      </c>
      <c r="D185" s="22" t="str">
        <f>IFERROR(INDEX(Customers!$D$2:$D$31,MATCH(B185,Customers!$A$2:$A$31,0)),"Unknown")</f>
        <v>Central</v>
      </c>
      <c r="E185" s="22" t="s">
        <v>126</v>
      </c>
      <c r="F185" s="22" t="str">
        <f>IFERROR(INDEX(Products!$B$2:$B$31,MATCH(E185,Products!$A$2:$A$31,0)),"Unknown")</f>
        <v>Wireless Earbuds</v>
      </c>
      <c r="G185" s="22" t="str">
        <f>IFERROR(INDEX(Products!$C$2:$C$31,MATCH(E185,Products!$A$2:$A$31,0)),"Unknown")</f>
        <v>Electronics</v>
      </c>
      <c r="H185" s="23">
        <v>45558</v>
      </c>
      <c r="I185" s="22">
        <f t="shared" si="16"/>
        <v>9</v>
      </c>
      <c r="J185" s="22" t="str">
        <f t="shared" si="17"/>
        <v>Sep</v>
      </c>
      <c r="K185" s="22" t="str">
        <f t="shared" si="18"/>
        <v>Q3</v>
      </c>
      <c r="L185" s="22">
        <v>4</v>
      </c>
      <c r="M185" s="24">
        <v>1363.08</v>
      </c>
      <c r="N185" s="25">
        <v>0</v>
      </c>
      <c r="O185" s="24">
        <f>IFERROR(INDEX(Products!$D$2:$D$31,MATCH(E185,Products!$A$2:$A$31,0)),0)</f>
        <v>1037.43</v>
      </c>
      <c r="P185" s="24">
        <f t="shared" si="19"/>
        <v>5452.32</v>
      </c>
      <c r="Q185" s="24">
        <f t="shared" si="20"/>
        <v>1302.5999999999999</v>
      </c>
      <c r="R185" s="26">
        <f t="shared" si="21"/>
        <v>0.2389074742494938</v>
      </c>
      <c r="S185" s="22" t="str">
        <f t="shared" si="22"/>
        <v>Regular</v>
      </c>
      <c r="T185" s="27" t="str">
        <f t="shared" si="23"/>
        <v>Medium</v>
      </c>
    </row>
    <row r="186" spans="1:20" ht="14.25" customHeight="1" x14ac:dyDescent="0.3">
      <c r="A186" s="21" t="s">
        <v>295</v>
      </c>
      <c r="B186" s="22" t="s">
        <v>123</v>
      </c>
      <c r="C186" s="22" t="str">
        <f>IFERROR(INDEX(Customers!$B$2:$B$31,MATCH(B186,Customers!$A$2:$A$31,0)),"Unknown")</f>
        <v>Kabir Gupta</v>
      </c>
      <c r="D186" s="22" t="str">
        <f>IFERROR(INDEX(Customers!$D$2:$D$31,MATCH(B186,Customers!$A$2:$A$31,0)),"Unknown")</f>
        <v>Central</v>
      </c>
      <c r="E186" s="22" t="s">
        <v>105</v>
      </c>
      <c r="F186" s="22" t="str">
        <f>IFERROR(INDEX(Products!$B$2:$B$31,MATCH(E186,Products!$A$2:$A$31,0)),"Unknown")</f>
        <v>LED Table Lamp</v>
      </c>
      <c r="G186" s="22" t="str">
        <f>IFERROR(INDEX(Products!$C$2:$C$31,MATCH(E186,Products!$A$2:$A$31,0)),"Unknown")</f>
        <v>Home &amp; Kitchen</v>
      </c>
      <c r="H186" s="23">
        <v>45561</v>
      </c>
      <c r="I186" s="22">
        <f t="shared" si="16"/>
        <v>9</v>
      </c>
      <c r="J186" s="22" t="str">
        <f t="shared" si="17"/>
        <v>Sep</v>
      </c>
      <c r="K186" s="22" t="str">
        <f t="shared" si="18"/>
        <v>Q3</v>
      </c>
      <c r="L186" s="22">
        <v>2</v>
      </c>
      <c r="M186" s="24">
        <v>445.66</v>
      </c>
      <c r="N186" s="25">
        <v>0.05</v>
      </c>
      <c r="O186" s="24">
        <f>IFERROR(INDEX(Products!$D$2:$D$31,MATCH(E186,Products!$A$2:$A$31,0)),0)</f>
        <v>300</v>
      </c>
      <c r="P186" s="24">
        <f t="shared" si="19"/>
        <v>846.75</v>
      </c>
      <c r="Q186" s="24">
        <f t="shared" si="20"/>
        <v>246.75</v>
      </c>
      <c r="R186" s="26">
        <f t="shared" si="21"/>
        <v>0.29140832595217009</v>
      </c>
      <c r="S186" s="22" t="str">
        <f t="shared" si="22"/>
        <v>Regular</v>
      </c>
      <c r="T186" s="27" t="str">
        <f t="shared" si="23"/>
        <v>Medium</v>
      </c>
    </row>
    <row r="187" spans="1:20" ht="14.25" customHeight="1" x14ac:dyDescent="0.3">
      <c r="A187" s="21" t="s">
        <v>296</v>
      </c>
      <c r="B187" s="22" t="s">
        <v>144</v>
      </c>
      <c r="C187" s="22" t="str">
        <f>IFERROR(INDEX(Customers!$B$2:$B$31,MATCH(B187,Customers!$A$2:$A$31,0)),"Unknown")</f>
        <v>Navya Sharma</v>
      </c>
      <c r="D187" s="22" t="str">
        <f>IFERROR(INDEX(Customers!$D$2:$D$31,MATCH(B187,Customers!$A$2:$A$31,0)),"Unknown")</f>
        <v>South</v>
      </c>
      <c r="E187" s="22" t="s">
        <v>141</v>
      </c>
      <c r="F187" s="22" t="str">
        <f>IFERROR(INDEX(Products!$B$2:$B$31,MATCH(E187,Products!$A$2:$A$31,0)),"Unknown")</f>
        <v>Cook Book</v>
      </c>
      <c r="G187" s="22" t="str">
        <f>IFERROR(INDEX(Products!$C$2:$C$31,MATCH(E187,Products!$A$2:$A$31,0)),"Unknown")</f>
        <v>Books</v>
      </c>
      <c r="H187" s="23">
        <v>45563</v>
      </c>
      <c r="I187" s="22">
        <f t="shared" si="16"/>
        <v>9</v>
      </c>
      <c r="J187" s="22" t="str">
        <f t="shared" si="17"/>
        <v>Sep</v>
      </c>
      <c r="K187" s="22" t="str">
        <f t="shared" si="18"/>
        <v>Q3</v>
      </c>
      <c r="L187" s="22">
        <v>1</v>
      </c>
      <c r="M187" s="24">
        <v>2834.55</v>
      </c>
      <c r="N187" s="25">
        <v>0.05</v>
      </c>
      <c r="O187" s="24">
        <f>IFERROR(INDEX(Products!$D$2:$D$31,MATCH(E187,Products!$A$2:$A$31,0)),0)</f>
        <v>1996.83</v>
      </c>
      <c r="P187" s="24">
        <f t="shared" si="19"/>
        <v>2692.82</v>
      </c>
      <c r="Q187" s="24">
        <f t="shared" si="20"/>
        <v>695.99</v>
      </c>
      <c r="R187" s="26">
        <f t="shared" si="21"/>
        <v>0.25846138991837553</v>
      </c>
      <c r="S187" s="22" t="str">
        <f t="shared" si="22"/>
        <v>Regular</v>
      </c>
      <c r="T187" s="27" t="str">
        <f t="shared" si="23"/>
        <v>Medium</v>
      </c>
    </row>
    <row r="188" spans="1:20" ht="14.25" customHeight="1" x14ac:dyDescent="0.3">
      <c r="A188" s="21" t="s">
        <v>297</v>
      </c>
      <c r="B188" s="22" t="s">
        <v>129</v>
      </c>
      <c r="C188" s="22" t="str">
        <f>IFERROR(INDEX(Customers!$B$2:$B$31,MATCH(B188,Customers!$A$2:$A$31,0)),"Unknown")</f>
        <v>Sana Chatterjee</v>
      </c>
      <c r="D188" s="22" t="str">
        <f>IFERROR(INDEX(Customers!$D$2:$D$31,MATCH(B188,Customers!$A$2:$A$31,0)),"Unknown")</f>
        <v>North</v>
      </c>
      <c r="E188" s="22" t="s">
        <v>131</v>
      </c>
      <c r="F188" s="22" t="str">
        <f>IFERROR(INDEX(Products!$B$2:$B$31,MATCH(E188,Products!$A$2:$A$31,0)),"Unknown")</f>
        <v>Sunscreen</v>
      </c>
      <c r="G188" s="22" t="str">
        <f>IFERROR(INDEX(Products!$C$2:$C$31,MATCH(E188,Products!$A$2:$A$31,0)),"Unknown")</f>
        <v>Beauty</v>
      </c>
      <c r="H188" s="23">
        <v>45564</v>
      </c>
      <c r="I188" s="22">
        <f t="shared" si="16"/>
        <v>9</v>
      </c>
      <c r="J188" s="22" t="str">
        <f t="shared" si="17"/>
        <v>Sep</v>
      </c>
      <c r="K188" s="22" t="str">
        <f t="shared" si="18"/>
        <v>Q3</v>
      </c>
      <c r="L188" s="22">
        <v>3</v>
      </c>
      <c r="M188" s="24">
        <v>2612.5300000000002</v>
      </c>
      <c r="N188" s="25">
        <v>0.05</v>
      </c>
      <c r="O188" s="24">
        <f>IFERROR(INDEX(Products!$D$2:$D$31,MATCH(E188,Products!$A$2:$A$31,0)),0)</f>
        <v>2163.09</v>
      </c>
      <c r="P188" s="24">
        <f t="shared" si="19"/>
        <v>7445.71</v>
      </c>
      <c r="Q188" s="24">
        <f t="shared" si="20"/>
        <v>956.44</v>
      </c>
      <c r="R188" s="26">
        <f t="shared" si="21"/>
        <v>0.12845517754519045</v>
      </c>
      <c r="S188" s="22" t="str">
        <f t="shared" si="22"/>
        <v>Regular</v>
      </c>
      <c r="T188" s="27" t="str">
        <f t="shared" si="23"/>
        <v>Low</v>
      </c>
    </row>
    <row r="189" spans="1:20" ht="14.25" customHeight="1" x14ac:dyDescent="0.3">
      <c r="A189" s="21" t="s">
        <v>298</v>
      </c>
      <c r="B189" s="22" t="s">
        <v>168</v>
      </c>
      <c r="C189" s="22" t="str">
        <f>IFERROR(INDEX(Customers!$B$2:$B$31,MATCH(B189,Customers!$A$2:$A$31,0)),"Unknown")</f>
        <v>Neha Reddy</v>
      </c>
      <c r="D189" s="22" t="str">
        <f>IFERROR(INDEX(Customers!$D$2:$D$31,MATCH(B189,Customers!$A$2:$A$31,0)),"Unknown")</f>
        <v>North</v>
      </c>
      <c r="E189" s="22" t="s">
        <v>99</v>
      </c>
      <c r="F189" s="22" t="str">
        <f>IFERROR(INDEX(Products!$B$2:$B$31,MATCH(E189,Products!$A$2:$A$31,0)),"Unknown")</f>
        <v>Moisturizer</v>
      </c>
      <c r="G189" s="22" t="str">
        <f>IFERROR(INDEX(Products!$C$2:$C$31,MATCH(E189,Products!$A$2:$A$31,0)),"Unknown")</f>
        <v>Beauty</v>
      </c>
      <c r="H189" s="23">
        <v>45566</v>
      </c>
      <c r="I189" s="22">
        <f t="shared" si="16"/>
        <v>10</v>
      </c>
      <c r="J189" s="22" t="str">
        <f t="shared" si="17"/>
        <v>Oct</v>
      </c>
      <c r="K189" s="22" t="str">
        <f t="shared" si="18"/>
        <v>Q4</v>
      </c>
      <c r="L189" s="22">
        <v>6</v>
      </c>
      <c r="M189" s="24">
        <v>3916.87</v>
      </c>
      <c r="N189" s="25">
        <v>0</v>
      </c>
      <c r="O189" s="24">
        <f>IFERROR(INDEX(Products!$D$2:$D$31,MATCH(E189,Products!$A$2:$A$31,0)),0)</f>
        <v>2490.61</v>
      </c>
      <c r="P189" s="24">
        <f t="shared" si="19"/>
        <v>23501.22</v>
      </c>
      <c r="Q189" s="24">
        <f t="shared" si="20"/>
        <v>8557.56</v>
      </c>
      <c r="R189" s="26">
        <f t="shared" si="21"/>
        <v>0.36413258545726557</v>
      </c>
      <c r="S189" s="22" t="str">
        <f t="shared" si="22"/>
        <v>Bulk</v>
      </c>
      <c r="T189" s="27" t="str">
        <f t="shared" si="23"/>
        <v>High</v>
      </c>
    </row>
    <row r="190" spans="1:20" ht="14.25" customHeight="1" x14ac:dyDescent="0.3">
      <c r="A190" s="21" t="s">
        <v>299</v>
      </c>
      <c r="B190" s="22" t="s">
        <v>96</v>
      </c>
      <c r="C190" s="22" t="str">
        <f>IFERROR(INDEX(Customers!$B$2:$B$31,MATCH(B190,Customers!$A$2:$A$31,0)),"Unknown")</f>
        <v>Sai Khan</v>
      </c>
      <c r="D190" s="22" t="str">
        <f>IFERROR(INDEX(Customers!$D$2:$D$31,MATCH(B190,Customers!$A$2:$A$31,0)),"Unknown")</f>
        <v>East</v>
      </c>
      <c r="E190" s="22" t="s">
        <v>63</v>
      </c>
      <c r="F190" s="22" t="str">
        <f>IFERROR(INDEX(Products!$B$2:$B$31,MATCH(E190,Products!$A$2:$A$31,0)),"Unknown")</f>
        <v>Power Bank</v>
      </c>
      <c r="G190" s="22" t="str">
        <f>IFERROR(INDEX(Products!$C$2:$C$31,MATCH(E190,Products!$A$2:$A$31,0)),"Unknown")</f>
        <v>Electronics</v>
      </c>
      <c r="H190" s="23">
        <v>45566</v>
      </c>
      <c r="I190" s="22">
        <f t="shared" si="16"/>
        <v>10</v>
      </c>
      <c r="J190" s="22" t="str">
        <f t="shared" si="17"/>
        <v>Oct</v>
      </c>
      <c r="K190" s="22" t="str">
        <f t="shared" si="18"/>
        <v>Q4</v>
      </c>
      <c r="L190" s="22">
        <v>3</v>
      </c>
      <c r="M190" s="24">
        <v>891.31</v>
      </c>
      <c r="N190" s="25">
        <v>0.15</v>
      </c>
      <c r="O190" s="24">
        <f>IFERROR(INDEX(Products!$D$2:$D$31,MATCH(E190,Products!$A$2:$A$31,0)),0)</f>
        <v>721.01</v>
      </c>
      <c r="P190" s="24">
        <f t="shared" si="19"/>
        <v>2272.84</v>
      </c>
      <c r="Q190" s="24">
        <f t="shared" si="20"/>
        <v>109.81</v>
      </c>
      <c r="R190" s="26">
        <f t="shared" si="21"/>
        <v>4.8314003625420175E-2</v>
      </c>
      <c r="S190" s="22" t="str">
        <f t="shared" si="22"/>
        <v>Regular</v>
      </c>
      <c r="T190" s="27" t="str">
        <f t="shared" si="23"/>
        <v>Low</v>
      </c>
    </row>
    <row r="191" spans="1:20" ht="14.25" customHeight="1" x14ac:dyDescent="0.3">
      <c r="A191" s="21" t="s">
        <v>300</v>
      </c>
      <c r="B191" s="22" t="s">
        <v>110</v>
      </c>
      <c r="C191" s="22" t="str">
        <f>IFERROR(INDEX(Customers!$B$2:$B$31,MATCH(B191,Customers!$A$2:$A$31,0)),"Unknown")</f>
        <v>Kiara Iyer</v>
      </c>
      <c r="D191" s="22" t="str">
        <f>IFERROR(INDEX(Customers!$D$2:$D$31,MATCH(B191,Customers!$A$2:$A$31,0)),"Unknown")</f>
        <v>Central</v>
      </c>
      <c r="E191" s="22" t="s">
        <v>57</v>
      </c>
      <c r="F191" s="22" t="str">
        <f>IFERROR(INDEX(Products!$B$2:$B$31,MATCH(E191,Products!$A$2:$A$31,0)),"Unknown")</f>
        <v>Smartwatch</v>
      </c>
      <c r="G191" s="22" t="str">
        <f>IFERROR(INDEX(Products!$C$2:$C$31,MATCH(E191,Products!$A$2:$A$31,0)),"Unknown")</f>
        <v>Electronics</v>
      </c>
      <c r="H191" s="23">
        <v>45567</v>
      </c>
      <c r="I191" s="22">
        <f t="shared" si="16"/>
        <v>10</v>
      </c>
      <c r="J191" s="22" t="str">
        <f t="shared" si="17"/>
        <v>Oct</v>
      </c>
      <c r="K191" s="22" t="str">
        <f t="shared" si="18"/>
        <v>Q4</v>
      </c>
      <c r="L191" s="22">
        <v>4</v>
      </c>
      <c r="M191" s="24">
        <v>1639.98</v>
      </c>
      <c r="N191" s="25">
        <v>0</v>
      </c>
      <c r="O191" s="24">
        <f>IFERROR(INDEX(Products!$D$2:$D$31,MATCH(E191,Products!$A$2:$A$31,0)),0)</f>
        <v>1190.42</v>
      </c>
      <c r="P191" s="24">
        <f t="shared" si="19"/>
        <v>6559.92</v>
      </c>
      <c r="Q191" s="24">
        <f t="shared" si="20"/>
        <v>1798.24</v>
      </c>
      <c r="R191" s="26">
        <f t="shared" si="21"/>
        <v>0.27412529421090504</v>
      </c>
      <c r="S191" s="22" t="str">
        <f t="shared" si="22"/>
        <v>Regular</v>
      </c>
      <c r="T191" s="27" t="str">
        <f t="shared" si="23"/>
        <v>Medium</v>
      </c>
    </row>
    <row r="192" spans="1:20" ht="14.25" customHeight="1" x14ac:dyDescent="0.3">
      <c r="A192" s="21" t="s">
        <v>301</v>
      </c>
      <c r="B192" s="22" t="s">
        <v>110</v>
      </c>
      <c r="C192" s="22" t="str">
        <f>IFERROR(INDEX(Customers!$B$2:$B$31,MATCH(B192,Customers!$A$2:$A$31,0)),"Unknown")</f>
        <v>Kiara Iyer</v>
      </c>
      <c r="D192" s="22" t="str">
        <f>IFERROR(INDEX(Customers!$D$2:$D$31,MATCH(B192,Customers!$A$2:$A$31,0)),"Unknown")</f>
        <v>Central</v>
      </c>
      <c r="E192" s="22" t="s">
        <v>163</v>
      </c>
      <c r="F192" s="22" t="str">
        <f>IFERROR(INDEX(Products!$B$2:$B$31,MATCH(E192,Products!$A$2:$A$31,0)),"Unknown")</f>
        <v>Formal Shirt</v>
      </c>
      <c r="G192" s="22" t="str">
        <f>IFERROR(INDEX(Products!$C$2:$C$31,MATCH(E192,Products!$A$2:$A$31,0)),"Unknown")</f>
        <v>Apparel</v>
      </c>
      <c r="H192" s="23">
        <v>45567</v>
      </c>
      <c r="I192" s="22">
        <f t="shared" si="16"/>
        <v>10</v>
      </c>
      <c r="J192" s="22" t="str">
        <f t="shared" si="17"/>
        <v>Oct</v>
      </c>
      <c r="K192" s="22" t="str">
        <f t="shared" si="18"/>
        <v>Q4</v>
      </c>
      <c r="L192" s="22">
        <v>3</v>
      </c>
      <c r="M192" s="24">
        <v>1980.31</v>
      </c>
      <c r="N192" s="25">
        <v>0</v>
      </c>
      <c r="O192" s="24">
        <f>IFERROR(INDEX(Products!$D$2:$D$31,MATCH(E192,Products!$A$2:$A$31,0)),0)</f>
        <v>1494.7</v>
      </c>
      <c r="P192" s="24">
        <f t="shared" si="19"/>
        <v>5940.93</v>
      </c>
      <c r="Q192" s="24">
        <f t="shared" si="20"/>
        <v>1456.83</v>
      </c>
      <c r="R192" s="26">
        <f t="shared" si="21"/>
        <v>0.24521918285520952</v>
      </c>
      <c r="S192" s="22" t="str">
        <f t="shared" si="22"/>
        <v>Regular</v>
      </c>
      <c r="T192" s="27" t="str">
        <f t="shared" si="23"/>
        <v>Medium</v>
      </c>
    </row>
    <row r="193" spans="1:20" ht="14.25" customHeight="1" x14ac:dyDescent="0.3">
      <c r="A193" s="21" t="s">
        <v>302</v>
      </c>
      <c r="B193" s="22" t="s">
        <v>65</v>
      </c>
      <c r="C193" s="22" t="str">
        <f>IFERROR(INDEX(Customers!$B$2:$B$31,MATCH(B193,Customers!$A$2:$A$31,0)),"Unknown")</f>
        <v>Sana Singh</v>
      </c>
      <c r="D193" s="22" t="str">
        <f>IFERROR(INDEX(Customers!$D$2:$D$31,MATCH(B193,Customers!$A$2:$A$31,0)),"Unknown")</f>
        <v>North</v>
      </c>
      <c r="E193" s="22" t="s">
        <v>91</v>
      </c>
      <c r="F193" s="22" t="str">
        <f>IFERROR(INDEX(Products!$B$2:$B$31,MATCH(E193,Products!$A$2:$A$31,0)),"Unknown")</f>
        <v>Hair Oil</v>
      </c>
      <c r="G193" s="22" t="str">
        <f>IFERROR(INDEX(Products!$C$2:$C$31,MATCH(E193,Products!$A$2:$A$31,0)),"Unknown")</f>
        <v>Beauty</v>
      </c>
      <c r="H193" s="23">
        <v>45568</v>
      </c>
      <c r="I193" s="22">
        <f t="shared" si="16"/>
        <v>10</v>
      </c>
      <c r="J193" s="22" t="str">
        <f t="shared" si="17"/>
        <v>Oct</v>
      </c>
      <c r="K193" s="22" t="str">
        <f t="shared" si="18"/>
        <v>Q4</v>
      </c>
      <c r="L193" s="22">
        <v>1</v>
      </c>
      <c r="M193" s="24">
        <v>3887.92</v>
      </c>
      <c r="N193" s="25">
        <v>0</v>
      </c>
      <c r="O193" s="24">
        <f>IFERROR(INDEX(Products!$D$2:$D$31,MATCH(E193,Products!$A$2:$A$31,0)),0)</f>
        <v>2430.0100000000002</v>
      </c>
      <c r="P193" s="24">
        <f t="shared" si="19"/>
        <v>3887.92</v>
      </c>
      <c r="Q193" s="24">
        <f t="shared" si="20"/>
        <v>1457.91</v>
      </c>
      <c r="R193" s="26">
        <f t="shared" si="21"/>
        <v>0.37498456758369514</v>
      </c>
      <c r="S193" s="22" t="str">
        <f t="shared" si="22"/>
        <v>Regular</v>
      </c>
      <c r="T193" s="27" t="str">
        <f t="shared" si="23"/>
        <v>High</v>
      </c>
    </row>
    <row r="194" spans="1:20" ht="14.25" customHeight="1" x14ac:dyDescent="0.3">
      <c r="A194" s="21" t="s">
        <v>303</v>
      </c>
      <c r="B194" s="22" t="s">
        <v>65</v>
      </c>
      <c r="C194" s="22" t="str">
        <f>IFERROR(INDEX(Customers!$B$2:$B$31,MATCH(B194,Customers!$A$2:$A$31,0)),"Unknown")</f>
        <v>Sana Singh</v>
      </c>
      <c r="D194" s="22" t="str">
        <f>IFERROR(INDEX(Customers!$D$2:$D$31,MATCH(B194,Customers!$A$2:$A$31,0)),"Unknown")</f>
        <v>North</v>
      </c>
      <c r="E194" s="22" t="s">
        <v>99</v>
      </c>
      <c r="F194" s="22" t="str">
        <f>IFERROR(INDEX(Products!$B$2:$B$31,MATCH(E194,Products!$A$2:$A$31,0)),"Unknown")</f>
        <v>Moisturizer</v>
      </c>
      <c r="G194" s="22" t="str">
        <f>IFERROR(INDEX(Products!$C$2:$C$31,MATCH(E194,Products!$A$2:$A$31,0)),"Unknown")</f>
        <v>Beauty</v>
      </c>
      <c r="H194" s="23">
        <v>45569</v>
      </c>
      <c r="I194" s="22">
        <f t="shared" si="16"/>
        <v>10</v>
      </c>
      <c r="J194" s="22" t="str">
        <f t="shared" si="17"/>
        <v>Oct</v>
      </c>
      <c r="K194" s="22" t="str">
        <f t="shared" si="18"/>
        <v>Q4</v>
      </c>
      <c r="L194" s="22">
        <v>8</v>
      </c>
      <c r="M194" s="24">
        <v>3327.36</v>
      </c>
      <c r="N194" s="25">
        <v>0</v>
      </c>
      <c r="O194" s="24">
        <f>IFERROR(INDEX(Products!$D$2:$D$31,MATCH(E194,Products!$A$2:$A$31,0)),0)</f>
        <v>2490.61</v>
      </c>
      <c r="P194" s="24">
        <f t="shared" si="19"/>
        <v>26618.880000000001</v>
      </c>
      <c r="Q194" s="24">
        <f t="shared" si="20"/>
        <v>6694</v>
      </c>
      <c r="R194" s="26">
        <f t="shared" si="21"/>
        <v>0.25147564435468356</v>
      </c>
      <c r="S194" s="22" t="str">
        <f t="shared" si="22"/>
        <v>Bulk</v>
      </c>
      <c r="T194" s="27" t="str">
        <f t="shared" si="23"/>
        <v>Medium</v>
      </c>
    </row>
    <row r="195" spans="1:20" ht="14.25" customHeight="1" x14ac:dyDescent="0.3">
      <c r="A195" s="21" t="s">
        <v>304</v>
      </c>
      <c r="B195" s="22" t="s">
        <v>104</v>
      </c>
      <c r="C195" s="22" t="str">
        <f>IFERROR(INDEX(Customers!$B$2:$B$31,MATCH(B195,Customers!$A$2:$A$31,0)),"Unknown")</f>
        <v>Ishaan Chatterjee</v>
      </c>
      <c r="D195" s="22" t="str">
        <f>IFERROR(INDEX(Customers!$D$2:$D$31,MATCH(B195,Customers!$A$2:$A$31,0)),"Unknown")</f>
        <v>West</v>
      </c>
      <c r="E195" s="22" t="s">
        <v>72</v>
      </c>
      <c r="F195" s="22" t="str">
        <f>IFERROR(INDEX(Products!$B$2:$B$31,MATCH(E195,Products!$A$2:$A$31,0)),"Unknown")</f>
        <v>Cricket Bat</v>
      </c>
      <c r="G195" s="22" t="str">
        <f>IFERROR(INDEX(Products!$C$2:$C$31,MATCH(E195,Products!$A$2:$A$31,0)),"Unknown")</f>
        <v>Sports</v>
      </c>
      <c r="H195" s="23">
        <v>45570</v>
      </c>
      <c r="I195" s="22">
        <f t="shared" ref="I195:I258" si="24">IF(H195="","",MONTH(H195))</f>
        <v>10</v>
      </c>
      <c r="J195" s="22" t="str">
        <f t="shared" ref="J195:J262" si="25">IF(H195="","",TEXT(H195,"mmm"))</f>
        <v>Oct</v>
      </c>
      <c r="K195" s="22" t="str">
        <f t="shared" ref="K195:K262" si="26">IF(H195="","","Q"&amp;ROUNDUP(MONTH(H195)/3,0))</f>
        <v>Q4</v>
      </c>
      <c r="L195" s="22">
        <v>5</v>
      </c>
      <c r="M195" s="24">
        <v>2599.88</v>
      </c>
      <c r="N195" s="25">
        <v>0.2</v>
      </c>
      <c r="O195" s="24">
        <f>IFERROR(INDEX(Products!$D$2:$D$31,MATCH(E195,Products!$A$2:$A$31,0)),0)</f>
        <v>1824.15</v>
      </c>
      <c r="P195" s="24">
        <f t="shared" ref="P195:P262" si="27">ROUND(L195*M195*(1-N195),2)</f>
        <v>10399.52</v>
      </c>
      <c r="Q195" s="24">
        <f t="shared" ref="Q195:Q258" si="28">ROUND(P195-L195*O195,2)</f>
        <v>1278.77</v>
      </c>
      <c r="R195" s="26">
        <f t="shared" ref="R195:R258" si="29">IFERROR(Q195/P195,0)</f>
        <v>0.12296432912288259</v>
      </c>
      <c r="S195" s="22" t="str">
        <f t="shared" ref="S195:S262" si="30">IF(L195&gt;=5,"Bulk","Regular")</f>
        <v>Bulk</v>
      </c>
      <c r="T195" s="27" t="str">
        <f t="shared" ref="T195:T262" si="31">IF(R195&gt;=0.3,"High",IF(R195&gt;=0.15,"Medium","Low"))</f>
        <v>Low</v>
      </c>
    </row>
    <row r="196" spans="1:20" ht="14.25" customHeight="1" x14ac:dyDescent="0.3">
      <c r="A196" s="21" t="s">
        <v>305</v>
      </c>
      <c r="B196" s="22" t="s">
        <v>76</v>
      </c>
      <c r="C196" s="22" t="str">
        <f>IFERROR(INDEX(Customers!$B$2:$B$31,MATCH(B196,Customers!$A$2:$A$31,0)),"Unknown")</f>
        <v>Aisha Sharma</v>
      </c>
      <c r="D196" s="22" t="str">
        <f>IFERROR(INDEX(Customers!$D$2:$D$31,MATCH(B196,Customers!$A$2:$A$31,0)),"Unknown")</f>
        <v>Central</v>
      </c>
      <c r="E196" s="22" t="s">
        <v>91</v>
      </c>
      <c r="F196" s="22" t="str">
        <f>IFERROR(INDEX(Products!$B$2:$B$31,MATCH(E196,Products!$A$2:$A$31,0)),"Unknown")</f>
        <v>Hair Oil</v>
      </c>
      <c r="G196" s="22" t="str">
        <f>IFERROR(INDEX(Products!$C$2:$C$31,MATCH(E196,Products!$A$2:$A$31,0)),"Unknown")</f>
        <v>Beauty</v>
      </c>
      <c r="H196" s="23">
        <v>45573</v>
      </c>
      <c r="I196" s="22">
        <f t="shared" si="24"/>
        <v>10</v>
      </c>
      <c r="J196" s="22" t="str">
        <f t="shared" si="25"/>
        <v>Oct</v>
      </c>
      <c r="K196" s="22" t="str">
        <f t="shared" si="26"/>
        <v>Q4</v>
      </c>
      <c r="L196" s="22">
        <v>6</v>
      </c>
      <c r="M196" s="24">
        <v>3179.22</v>
      </c>
      <c r="N196" s="25">
        <v>0.05</v>
      </c>
      <c r="O196" s="24">
        <f>IFERROR(INDEX(Products!$D$2:$D$31,MATCH(E196,Products!$A$2:$A$31,0)),0)</f>
        <v>2430.0100000000002</v>
      </c>
      <c r="P196" s="24">
        <f t="shared" si="27"/>
        <v>18121.55</v>
      </c>
      <c r="Q196" s="24">
        <f t="shared" si="28"/>
        <v>3541.49</v>
      </c>
      <c r="R196" s="26">
        <f t="shared" si="29"/>
        <v>0.19542975076635277</v>
      </c>
      <c r="S196" s="22" t="str">
        <f t="shared" si="30"/>
        <v>Bulk</v>
      </c>
      <c r="T196" s="27" t="str">
        <f t="shared" si="31"/>
        <v>Medium</v>
      </c>
    </row>
    <row r="197" spans="1:20" ht="14.25" customHeight="1" x14ac:dyDescent="0.3">
      <c r="A197" s="21" t="s">
        <v>306</v>
      </c>
      <c r="B197" s="22" t="s">
        <v>153</v>
      </c>
      <c r="C197" s="22" t="str">
        <f>IFERROR(INDEX(Customers!$B$2:$B$31,MATCH(B197,Customers!$A$2:$A$31,0)),"Unknown")</f>
        <v>Rohan Sharma</v>
      </c>
      <c r="D197" s="22" t="str">
        <f>IFERROR(INDEX(Customers!$D$2:$D$31,MATCH(B197,Customers!$A$2:$A$31,0)),"Unknown")</f>
        <v>North</v>
      </c>
      <c r="E197" s="22" t="s">
        <v>131</v>
      </c>
      <c r="F197" s="22" t="str">
        <f>IFERROR(INDEX(Products!$B$2:$B$31,MATCH(E197,Products!$A$2:$A$31,0)),"Unknown")</f>
        <v>Sunscreen</v>
      </c>
      <c r="G197" s="22" t="str">
        <f>IFERROR(INDEX(Products!$C$2:$C$31,MATCH(E197,Products!$A$2:$A$31,0)),"Unknown")</f>
        <v>Beauty</v>
      </c>
      <c r="H197" s="23">
        <v>45573</v>
      </c>
      <c r="I197" s="22">
        <f t="shared" si="24"/>
        <v>10</v>
      </c>
      <c r="J197" s="22" t="str">
        <f t="shared" si="25"/>
        <v>Oct</v>
      </c>
      <c r="K197" s="22" t="str">
        <f t="shared" si="26"/>
        <v>Q4</v>
      </c>
      <c r="L197" s="22">
        <v>1</v>
      </c>
      <c r="M197" s="24">
        <v>2930.28</v>
      </c>
      <c r="N197" s="25">
        <v>0</v>
      </c>
      <c r="O197" s="24">
        <f>IFERROR(INDEX(Products!$D$2:$D$31,MATCH(E197,Products!$A$2:$A$31,0)),0)</f>
        <v>2163.09</v>
      </c>
      <c r="P197" s="24">
        <f t="shared" si="27"/>
        <v>2930.28</v>
      </c>
      <c r="Q197" s="24">
        <f t="shared" si="28"/>
        <v>767.19</v>
      </c>
      <c r="R197" s="26">
        <f t="shared" si="29"/>
        <v>0.26181457062123759</v>
      </c>
      <c r="S197" s="22" t="str">
        <f t="shared" si="30"/>
        <v>Regular</v>
      </c>
      <c r="T197" s="27" t="str">
        <f t="shared" si="31"/>
        <v>Medium</v>
      </c>
    </row>
    <row r="198" spans="1:20" ht="14.25" customHeight="1" x14ac:dyDescent="0.3">
      <c r="A198" s="21" t="s">
        <v>307</v>
      </c>
      <c r="B198" s="22" t="s">
        <v>227</v>
      </c>
      <c r="C198" s="22" t="str">
        <f>IFERROR(INDEX(Customers!$B$2:$B$31,MATCH(B198,Customers!$A$2:$A$31,0)),"Unknown")</f>
        <v>Aditya Iyer</v>
      </c>
      <c r="D198" s="22" t="str">
        <f>IFERROR(INDEX(Customers!$D$2:$D$31,MATCH(B198,Customers!$A$2:$A$31,0)),"Unknown")</f>
        <v>East</v>
      </c>
      <c r="E198" s="22" t="s">
        <v>172</v>
      </c>
      <c r="F198" s="22" t="str">
        <f>IFERROR(INDEX(Products!$B$2:$B$31,MATCH(E198,Products!$A$2:$A$31,0)),"Unknown")</f>
        <v>Football</v>
      </c>
      <c r="G198" s="22" t="str">
        <f>IFERROR(INDEX(Products!$C$2:$C$31,MATCH(E198,Products!$A$2:$A$31,0)),"Unknown")</f>
        <v>Sports</v>
      </c>
      <c r="H198" s="23">
        <v>45576</v>
      </c>
      <c r="I198" s="22">
        <f t="shared" si="24"/>
        <v>10</v>
      </c>
      <c r="J198" s="22" t="str">
        <f t="shared" si="25"/>
        <v>Oct</v>
      </c>
      <c r="K198" s="22" t="str">
        <f t="shared" si="26"/>
        <v>Q4</v>
      </c>
      <c r="L198" s="22">
        <v>5</v>
      </c>
      <c r="M198" s="24">
        <v>2078.63</v>
      </c>
      <c r="N198" s="25">
        <v>0</v>
      </c>
      <c r="O198" s="24">
        <f>IFERROR(INDEX(Products!$D$2:$D$31,MATCH(E198,Products!$A$2:$A$31,0)),0)</f>
        <v>1729.74</v>
      </c>
      <c r="P198" s="24">
        <f t="shared" si="27"/>
        <v>10393.15</v>
      </c>
      <c r="Q198" s="24">
        <f t="shared" si="28"/>
        <v>1744.45</v>
      </c>
      <c r="R198" s="26">
        <f t="shared" si="29"/>
        <v>0.16784612942178262</v>
      </c>
      <c r="S198" s="22" t="str">
        <f t="shared" si="30"/>
        <v>Bulk</v>
      </c>
      <c r="T198" s="27" t="str">
        <f t="shared" si="31"/>
        <v>Medium</v>
      </c>
    </row>
    <row r="199" spans="1:20" ht="14.25" customHeight="1" x14ac:dyDescent="0.3">
      <c r="A199" s="21" t="s">
        <v>308</v>
      </c>
      <c r="B199" s="22" t="s">
        <v>199</v>
      </c>
      <c r="C199" s="22" t="str">
        <f>IFERROR(INDEX(Customers!$B$2:$B$31,MATCH(B199,Customers!$A$2:$A$31,0)),"Unknown")</f>
        <v>Sai Kapoor</v>
      </c>
      <c r="D199" s="22" t="str">
        <f>IFERROR(INDEX(Customers!$D$2:$D$31,MATCH(B199,Customers!$A$2:$A$31,0)),"Unknown")</f>
        <v>South</v>
      </c>
      <c r="E199" s="22" t="s">
        <v>120</v>
      </c>
      <c r="F199" s="22" t="str">
        <f>IFERROR(INDEX(Products!$B$2:$B$31,MATCH(E199,Products!$A$2:$A$31,0)),"Unknown")</f>
        <v>Kids Story Book</v>
      </c>
      <c r="G199" s="22" t="str">
        <f>IFERROR(INDEX(Products!$C$2:$C$31,MATCH(E199,Products!$A$2:$A$31,0)),"Unknown")</f>
        <v>Books</v>
      </c>
      <c r="H199" s="23">
        <v>45579</v>
      </c>
      <c r="I199" s="22">
        <f t="shared" si="24"/>
        <v>10</v>
      </c>
      <c r="J199" s="22" t="str">
        <f t="shared" si="25"/>
        <v>Oct</v>
      </c>
      <c r="K199" s="22" t="str">
        <f t="shared" si="26"/>
        <v>Q4</v>
      </c>
      <c r="L199" s="22">
        <v>6</v>
      </c>
      <c r="M199" s="24">
        <v>1599.02</v>
      </c>
      <c r="N199" s="25">
        <v>0.05</v>
      </c>
      <c r="O199" s="24">
        <f>IFERROR(INDEX(Products!$D$2:$D$31,MATCH(E199,Products!$A$2:$A$31,0)),0)</f>
        <v>1101.6300000000001</v>
      </c>
      <c r="P199" s="24">
        <f t="shared" si="27"/>
        <v>9114.41</v>
      </c>
      <c r="Q199" s="24">
        <f t="shared" si="28"/>
        <v>2504.63</v>
      </c>
      <c r="R199" s="26">
        <f t="shared" si="29"/>
        <v>0.2747989173188391</v>
      </c>
      <c r="S199" s="22" t="str">
        <f t="shared" si="30"/>
        <v>Bulk</v>
      </c>
      <c r="T199" s="27" t="str">
        <f t="shared" si="31"/>
        <v>Medium</v>
      </c>
    </row>
    <row r="200" spans="1:20" ht="14.25" customHeight="1" x14ac:dyDescent="0.3">
      <c r="A200" s="21" t="s">
        <v>309</v>
      </c>
      <c r="B200" s="22" t="s">
        <v>205</v>
      </c>
      <c r="C200" s="22" t="str">
        <f>IFERROR(INDEX(Customers!$B$2:$B$31,MATCH(B200,Customers!$A$2:$A$31,0)),"Unknown")</f>
        <v>Ayaan Kapoor</v>
      </c>
      <c r="D200" s="22" t="str">
        <f>IFERROR(INDEX(Customers!$D$2:$D$31,MATCH(B200,Customers!$A$2:$A$31,0)),"Unknown")</f>
        <v>South</v>
      </c>
      <c r="E200" s="22" t="s">
        <v>63</v>
      </c>
      <c r="F200" s="22" t="str">
        <f>IFERROR(INDEX(Products!$B$2:$B$31,MATCH(E200,Products!$A$2:$A$31,0)),"Unknown")</f>
        <v>Power Bank</v>
      </c>
      <c r="G200" s="22" t="str">
        <f>IFERROR(INDEX(Products!$C$2:$C$31,MATCH(E200,Products!$A$2:$A$31,0)),"Unknown")</f>
        <v>Electronics</v>
      </c>
      <c r="H200" s="23">
        <v>45580</v>
      </c>
      <c r="I200" s="22">
        <f t="shared" si="24"/>
        <v>10</v>
      </c>
      <c r="J200" s="22" t="str">
        <f t="shared" si="25"/>
        <v>Oct</v>
      </c>
      <c r="K200" s="22" t="str">
        <f t="shared" si="26"/>
        <v>Q4</v>
      </c>
      <c r="L200" s="22">
        <v>4</v>
      </c>
      <c r="M200" s="24">
        <v>980.04</v>
      </c>
      <c r="N200" s="25">
        <v>0</v>
      </c>
      <c r="O200" s="24">
        <f>IFERROR(INDEX(Products!$D$2:$D$31,MATCH(E200,Products!$A$2:$A$31,0)),0)</f>
        <v>721.01</v>
      </c>
      <c r="P200" s="24">
        <f t="shared" si="27"/>
        <v>3920.16</v>
      </c>
      <c r="Q200" s="24">
        <f t="shared" si="28"/>
        <v>1036.1199999999999</v>
      </c>
      <c r="R200" s="26">
        <f t="shared" si="29"/>
        <v>0.26430553854944694</v>
      </c>
      <c r="S200" s="22" t="str">
        <f t="shared" si="30"/>
        <v>Regular</v>
      </c>
      <c r="T200" s="27" t="str">
        <f t="shared" si="31"/>
        <v>Medium</v>
      </c>
    </row>
    <row r="201" spans="1:20" ht="14.25" customHeight="1" x14ac:dyDescent="0.3">
      <c r="A201" s="21" t="s">
        <v>310</v>
      </c>
      <c r="B201" s="22" t="s">
        <v>84</v>
      </c>
      <c r="C201" s="22" t="str">
        <f>IFERROR(INDEX(Customers!$B$2:$B$31,MATCH(B201,Customers!$A$2:$A$31,0)),"Unknown")</f>
        <v>Aditya Khan</v>
      </c>
      <c r="D201" s="22" t="str">
        <f>IFERROR(INDEX(Customers!$D$2:$D$31,MATCH(B201,Customers!$A$2:$A$31,0)),"Unknown")</f>
        <v>North</v>
      </c>
      <c r="E201" s="22" t="s">
        <v>135</v>
      </c>
      <c r="F201" s="22" t="str">
        <f>IFERROR(INDEX(Products!$B$2:$B$31,MATCH(E201,Products!$A$2:$A$31,0)),"Unknown")</f>
        <v>Yoga Mat</v>
      </c>
      <c r="G201" s="22" t="str">
        <f>IFERROR(INDEX(Products!$C$2:$C$31,MATCH(E201,Products!$A$2:$A$31,0)),"Unknown")</f>
        <v>Sports</v>
      </c>
      <c r="H201" s="23">
        <v>45581</v>
      </c>
      <c r="I201" s="22">
        <f t="shared" si="24"/>
        <v>10</v>
      </c>
      <c r="J201" s="22" t="str">
        <f t="shared" si="25"/>
        <v>Oct</v>
      </c>
      <c r="K201" s="22" t="str">
        <f t="shared" si="26"/>
        <v>Q4</v>
      </c>
      <c r="L201" s="22">
        <v>4</v>
      </c>
      <c r="M201" s="24">
        <v>127.27</v>
      </c>
      <c r="N201" s="25">
        <v>0.2</v>
      </c>
      <c r="O201" s="24">
        <f>IFERROR(INDEX(Products!$D$2:$D$31,MATCH(E201,Products!$A$2:$A$31,0)),0)</f>
        <v>107.78</v>
      </c>
      <c r="P201" s="24">
        <f t="shared" si="27"/>
        <v>407.26</v>
      </c>
      <c r="Q201" s="24">
        <f t="shared" si="28"/>
        <v>-23.86</v>
      </c>
      <c r="R201" s="26">
        <f t="shared" si="29"/>
        <v>-5.8586652261454597E-2</v>
      </c>
      <c r="S201" s="22" t="str">
        <f t="shared" si="30"/>
        <v>Regular</v>
      </c>
      <c r="T201" s="27" t="str">
        <f t="shared" si="31"/>
        <v>Low</v>
      </c>
    </row>
    <row r="202" spans="1:20" ht="14.25" customHeight="1" x14ac:dyDescent="0.3">
      <c r="A202" s="21" t="s">
        <v>311</v>
      </c>
      <c r="B202" s="22" t="s">
        <v>205</v>
      </c>
      <c r="C202" s="22" t="str">
        <f>IFERROR(INDEX(Customers!$B$2:$B$31,MATCH(B202,Customers!$A$2:$A$31,0)),"Unknown")</f>
        <v>Ayaan Kapoor</v>
      </c>
      <c r="D202" s="22" t="str">
        <f>IFERROR(INDEX(Customers!$D$2:$D$31,MATCH(B202,Customers!$A$2:$A$31,0)),"Unknown")</f>
        <v>South</v>
      </c>
      <c r="E202" s="22" t="s">
        <v>72</v>
      </c>
      <c r="F202" s="22" t="str">
        <f>IFERROR(INDEX(Products!$B$2:$B$31,MATCH(E202,Products!$A$2:$A$31,0)),"Unknown")</f>
        <v>Cricket Bat</v>
      </c>
      <c r="G202" s="22" t="str">
        <f>IFERROR(INDEX(Products!$C$2:$C$31,MATCH(E202,Products!$A$2:$A$31,0)),"Unknown")</f>
        <v>Sports</v>
      </c>
      <c r="H202" s="23">
        <v>45586</v>
      </c>
      <c r="I202" s="22">
        <f t="shared" si="24"/>
        <v>10</v>
      </c>
      <c r="J202" s="22" t="str">
        <f t="shared" si="25"/>
        <v>Oct</v>
      </c>
      <c r="K202" s="22" t="str">
        <f t="shared" si="26"/>
        <v>Q4</v>
      </c>
      <c r="L202" s="22">
        <v>1</v>
      </c>
      <c r="M202" s="24">
        <v>2918.29</v>
      </c>
      <c r="N202" s="25">
        <v>0.15</v>
      </c>
      <c r="O202" s="24">
        <f>IFERROR(INDEX(Products!$D$2:$D$31,MATCH(E202,Products!$A$2:$A$31,0)),0)</f>
        <v>1824.15</v>
      </c>
      <c r="P202" s="24">
        <f t="shared" si="27"/>
        <v>2480.5500000000002</v>
      </c>
      <c r="Q202" s="24">
        <f t="shared" si="28"/>
        <v>656.4</v>
      </c>
      <c r="R202" s="26">
        <f t="shared" si="29"/>
        <v>0.26461873374856382</v>
      </c>
      <c r="S202" s="22" t="str">
        <f t="shared" si="30"/>
        <v>Regular</v>
      </c>
      <c r="T202" s="27" t="str">
        <f t="shared" si="31"/>
        <v>Medium</v>
      </c>
    </row>
    <row r="203" spans="1:20" ht="14.25" customHeight="1" x14ac:dyDescent="0.3">
      <c r="A203" s="21" t="s">
        <v>312</v>
      </c>
      <c r="B203" s="22" t="s">
        <v>101</v>
      </c>
      <c r="C203" s="22" t="str">
        <f>IFERROR(INDEX(Customers!$B$2:$B$31,MATCH(B203,Customers!$A$2:$A$31,0)),"Unknown")</f>
        <v>Ayaan Verma</v>
      </c>
      <c r="D203" s="22" t="str">
        <f>IFERROR(INDEX(Customers!$D$2:$D$31,MATCH(B203,Customers!$A$2:$A$31,0)),"Unknown")</f>
        <v>East</v>
      </c>
      <c r="E203" s="22" t="s">
        <v>69</v>
      </c>
      <c r="F203" s="22" t="str">
        <f>IFERROR(INDEX(Products!$B$2:$B$31,MATCH(E203,Products!$A$2:$A$31,0)),"Unknown")</f>
        <v>Non-Stick Pan</v>
      </c>
      <c r="G203" s="22" t="str">
        <f>IFERROR(INDEX(Products!$C$2:$C$31,MATCH(E203,Products!$A$2:$A$31,0)),"Unknown")</f>
        <v>Home &amp; Kitchen</v>
      </c>
      <c r="H203" s="23">
        <v>45586</v>
      </c>
      <c r="I203" s="22">
        <f t="shared" si="24"/>
        <v>10</v>
      </c>
      <c r="J203" s="22" t="str">
        <f t="shared" si="25"/>
        <v>Oct</v>
      </c>
      <c r="K203" s="22" t="str">
        <f t="shared" si="26"/>
        <v>Q4</v>
      </c>
      <c r="L203" s="22">
        <v>5</v>
      </c>
      <c r="M203" s="24">
        <v>859.97</v>
      </c>
      <c r="N203" s="25">
        <v>0.15</v>
      </c>
      <c r="O203" s="24">
        <f>IFERROR(INDEX(Products!$D$2:$D$31,MATCH(E203,Products!$A$2:$A$31,0)),0)</f>
        <v>610.76</v>
      </c>
      <c r="P203" s="24">
        <f t="shared" si="27"/>
        <v>3654.87</v>
      </c>
      <c r="Q203" s="24">
        <f t="shared" si="28"/>
        <v>601.07000000000005</v>
      </c>
      <c r="R203" s="26">
        <f t="shared" si="29"/>
        <v>0.16445728575845381</v>
      </c>
      <c r="S203" s="22" t="str">
        <f t="shared" si="30"/>
        <v>Bulk</v>
      </c>
      <c r="T203" s="27" t="str">
        <f t="shared" si="31"/>
        <v>Medium</v>
      </c>
    </row>
    <row r="204" spans="1:20" ht="14.25" customHeight="1" x14ac:dyDescent="0.3">
      <c r="A204" s="21" t="s">
        <v>313</v>
      </c>
      <c r="B204" s="22" t="s">
        <v>110</v>
      </c>
      <c r="C204" s="22" t="str">
        <f>IFERROR(INDEX(Customers!$B$2:$B$31,MATCH(B204,Customers!$A$2:$A$31,0)),"Unknown")</f>
        <v>Kiara Iyer</v>
      </c>
      <c r="D204" s="22" t="str">
        <f>IFERROR(INDEX(Customers!$D$2:$D$31,MATCH(B204,Customers!$A$2:$A$31,0)),"Unknown")</f>
        <v>Central</v>
      </c>
      <c r="E204" s="22" t="s">
        <v>102</v>
      </c>
      <c r="F204" s="22" t="str">
        <f>IFERROR(INDEX(Products!$B$2:$B$31,MATCH(E204,Products!$A$2:$A$31,0)),"Unknown")</f>
        <v>Storage Jars Set</v>
      </c>
      <c r="G204" s="22" t="str">
        <f>IFERROR(INDEX(Products!$C$2:$C$31,MATCH(E204,Products!$A$2:$A$31,0)),"Unknown")</f>
        <v>Home &amp; Kitchen</v>
      </c>
      <c r="H204" s="23">
        <v>45587</v>
      </c>
      <c r="I204" s="22">
        <f t="shared" si="24"/>
        <v>10</v>
      </c>
      <c r="J204" s="22" t="str">
        <f t="shared" si="25"/>
        <v>Oct</v>
      </c>
      <c r="K204" s="22" t="str">
        <f t="shared" si="26"/>
        <v>Q4</v>
      </c>
      <c r="L204" s="22">
        <v>4</v>
      </c>
      <c r="M204" s="24">
        <v>1660.52</v>
      </c>
      <c r="N204" s="25">
        <v>0.15</v>
      </c>
      <c r="O204" s="24">
        <f>IFERROR(INDEX(Products!$D$2:$D$31,MATCH(E204,Products!$A$2:$A$31,0)),0)</f>
        <v>1313.05</v>
      </c>
      <c r="P204" s="24">
        <f t="shared" si="27"/>
        <v>5645.77</v>
      </c>
      <c r="Q204" s="24">
        <f t="shared" si="28"/>
        <v>393.57</v>
      </c>
      <c r="R204" s="26">
        <f t="shared" si="29"/>
        <v>6.9710597491573337E-2</v>
      </c>
      <c r="S204" s="22" t="str">
        <f t="shared" si="30"/>
        <v>Regular</v>
      </c>
      <c r="T204" s="27" t="str">
        <f t="shared" si="31"/>
        <v>Low</v>
      </c>
    </row>
    <row r="205" spans="1:20" ht="14.25" customHeight="1" x14ac:dyDescent="0.3">
      <c r="A205" s="21" t="s">
        <v>314</v>
      </c>
      <c r="B205" s="22" t="s">
        <v>153</v>
      </c>
      <c r="C205" s="22" t="str">
        <f>IFERROR(INDEX(Customers!$B$2:$B$31,MATCH(B205,Customers!$A$2:$A$31,0)),"Unknown")</f>
        <v>Rohan Sharma</v>
      </c>
      <c r="D205" s="22" t="str">
        <f>IFERROR(INDEX(Customers!$D$2:$D$31,MATCH(B205,Customers!$A$2:$A$31,0)),"Unknown")</f>
        <v>North</v>
      </c>
      <c r="E205" s="22" t="s">
        <v>82</v>
      </c>
      <c r="F205" s="22" t="str">
        <f>IFERROR(INDEX(Products!$B$2:$B$31,MATCH(E205,Products!$A$2:$A$31,0)),"Unknown")</f>
        <v>Hoodie</v>
      </c>
      <c r="G205" s="22" t="str">
        <f>IFERROR(INDEX(Products!$C$2:$C$31,MATCH(E205,Products!$A$2:$A$31,0)),"Unknown")</f>
        <v>Apparel</v>
      </c>
      <c r="H205" s="23">
        <v>45587</v>
      </c>
      <c r="I205" s="22">
        <f t="shared" si="24"/>
        <v>10</v>
      </c>
      <c r="J205" s="22" t="str">
        <f t="shared" si="25"/>
        <v>Oct</v>
      </c>
      <c r="K205" s="22" t="str">
        <f t="shared" si="26"/>
        <v>Q4</v>
      </c>
      <c r="L205" s="22">
        <v>1</v>
      </c>
      <c r="M205" s="24">
        <v>3364.22</v>
      </c>
      <c r="N205" s="25">
        <v>0</v>
      </c>
      <c r="O205" s="24">
        <f>IFERROR(INDEX(Products!$D$2:$D$31,MATCH(E205,Products!$A$2:$A$31,0)),0)</f>
        <v>2252.73</v>
      </c>
      <c r="P205" s="24">
        <f t="shared" si="27"/>
        <v>3364.22</v>
      </c>
      <c r="Q205" s="24">
        <f t="shared" si="28"/>
        <v>1111.49</v>
      </c>
      <c r="R205" s="26">
        <f t="shared" si="29"/>
        <v>0.33038564659861724</v>
      </c>
      <c r="S205" s="22" t="str">
        <f t="shared" si="30"/>
        <v>Regular</v>
      </c>
      <c r="T205" s="27" t="str">
        <f t="shared" si="31"/>
        <v>High</v>
      </c>
    </row>
    <row r="206" spans="1:20" ht="14.25" customHeight="1" x14ac:dyDescent="0.3">
      <c r="A206" s="21" t="s">
        <v>315</v>
      </c>
      <c r="B206" s="22" t="s">
        <v>71</v>
      </c>
      <c r="C206" s="22" t="str">
        <f>IFERROR(INDEX(Customers!$B$2:$B$31,MATCH(B206,Customers!$A$2:$A$31,0)),"Unknown")</f>
        <v>Imran Mehta</v>
      </c>
      <c r="D206" s="22" t="str">
        <f>IFERROR(INDEX(Customers!$D$2:$D$31,MATCH(B206,Customers!$A$2:$A$31,0)),"Unknown")</f>
        <v>Central</v>
      </c>
      <c r="E206" s="22" t="s">
        <v>54</v>
      </c>
      <c r="F206" s="22" t="str">
        <f>IFERROR(INDEX(Products!$B$2:$B$31,MATCH(E206,Products!$A$2:$A$31,0)),"Unknown")</f>
        <v>Bluetooth Speaker</v>
      </c>
      <c r="G206" s="22" t="str">
        <f>IFERROR(INDEX(Products!$C$2:$C$31,MATCH(E206,Products!$A$2:$A$31,0)),"Unknown")</f>
        <v>Electronics</v>
      </c>
      <c r="H206" s="23">
        <v>45588</v>
      </c>
      <c r="I206" s="22">
        <f t="shared" si="24"/>
        <v>10</v>
      </c>
      <c r="J206" s="22" t="str">
        <f t="shared" si="25"/>
        <v>Oct</v>
      </c>
      <c r="K206" s="22" t="str">
        <f t="shared" si="26"/>
        <v>Q4</v>
      </c>
      <c r="L206" s="22">
        <v>1</v>
      </c>
      <c r="M206" s="24">
        <v>3409.06</v>
      </c>
      <c r="N206" s="25">
        <v>0</v>
      </c>
      <c r="O206" s="24">
        <f>IFERROR(INDEX(Products!$D$2:$D$31,MATCH(E206,Products!$A$2:$A$31,0)),0)</f>
        <v>2293.21</v>
      </c>
      <c r="P206" s="24">
        <f t="shared" si="27"/>
        <v>3409.06</v>
      </c>
      <c r="Q206" s="24">
        <f t="shared" si="28"/>
        <v>1115.8499999999999</v>
      </c>
      <c r="R206" s="26">
        <f t="shared" si="29"/>
        <v>0.32731896769197372</v>
      </c>
      <c r="S206" s="22" t="str">
        <f t="shared" si="30"/>
        <v>Regular</v>
      </c>
      <c r="T206" s="27" t="str">
        <f t="shared" si="31"/>
        <v>High</v>
      </c>
    </row>
    <row r="207" spans="1:20" ht="14.25" customHeight="1" x14ac:dyDescent="0.3">
      <c r="A207" s="21" t="s">
        <v>316</v>
      </c>
      <c r="B207" s="22" t="s">
        <v>79</v>
      </c>
      <c r="C207" s="22" t="str">
        <f>IFERROR(INDEX(Customers!$B$2:$B$31,MATCH(B207,Customers!$A$2:$A$31,0)),"Unknown")</f>
        <v>Imran Iyer</v>
      </c>
      <c r="D207" s="22" t="str">
        <f>IFERROR(INDEX(Customers!$D$2:$D$31,MATCH(B207,Customers!$A$2:$A$31,0)),"Unknown")</f>
        <v>North</v>
      </c>
      <c r="E207" s="22" t="s">
        <v>63</v>
      </c>
      <c r="F207" s="22" t="str">
        <f>IFERROR(INDEX(Products!$B$2:$B$31,MATCH(E207,Products!$A$2:$A$31,0)),"Unknown")</f>
        <v>Power Bank</v>
      </c>
      <c r="G207" s="22" t="str">
        <f>IFERROR(INDEX(Products!$C$2:$C$31,MATCH(E207,Products!$A$2:$A$31,0)),"Unknown")</f>
        <v>Electronics</v>
      </c>
      <c r="H207" s="23">
        <v>45588</v>
      </c>
      <c r="I207" s="22">
        <f t="shared" si="24"/>
        <v>10</v>
      </c>
      <c r="J207" s="22" t="str">
        <f t="shared" si="25"/>
        <v>Oct</v>
      </c>
      <c r="K207" s="22" t="str">
        <f t="shared" si="26"/>
        <v>Q4</v>
      </c>
      <c r="L207" s="22">
        <v>1</v>
      </c>
      <c r="M207" s="24">
        <v>1130.54</v>
      </c>
      <c r="N207" s="25">
        <v>0.1</v>
      </c>
      <c r="O207" s="24">
        <f>IFERROR(INDEX(Products!$D$2:$D$31,MATCH(E207,Products!$A$2:$A$31,0)),0)</f>
        <v>721.01</v>
      </c>
      <c r="P207" s="24">
        <f t="shared" si="27"/>
        <v>1017.49</v>
      </c>
      <c r="Q207" s="24">
        <f t="shared" si="28"/>
        <v>296.48</v>
      </c>
      <c r="R207" s="26">
        <f t="shared" si="29"/>
        <v>0.2913836991026939</v>
      </c>
      <c r="S207" s="22" t="str">
        <f t="shared" si="30"/>
        <v>Regular</v>
      </c>
      <c r="T207" s="27" t="str">
        <f t="shared" si="31"/>
        <v>Medium</v>
      </c>
    </row>
    <row r="208" spans="1:20" ht="14.25" customHeight="1" x14ac:dyDescent="0.3">
      <c r="A208" s="21" t="s">
        <v>317</v>
      </c>
      <c r="B208" s="22" t="s">
        <v>93</v>
      </c>
      <c r="C208" s="22" t="str">
        <f>IFERROR(INDEX(Customers!$B$2:$B$31,MATCH(B208,Customers!$A$2:$A$31,0)),"Unknown")</f>
        <v>Karan Kapoor</v>
      </c>
      <c r="D208" s="22" t="str">
        <f>IFERROR(INDEX(Customers!$D$2:$D$31,MATCH(B208,Customers!$A$2:$A$31,0)),"Unknown")</f>
        <v>South</v>
      </c>
      <c r="E208" s="22" t="s">
        <v>131</v>
      </c>
      <c r="F208" s="22" t="str">
        <f>IFERROR(INDEX(Products!$B$2:$B$31,MATCH(E208,Products!$A$2:$A$31,0)),"Unknown")</f>
        <v>Sunscreen</v>
      </c>
      <c r="G208" s="22" t="str">
        <f>IFERROR(INDEX(Products!$C$2:$C$31,MATCH(E208,Products!$A$2:$A$31,0)),"Unknown")</f>
        <v>Beauty</v>
      </c>
      <c r="H208" s="23">
        <v>45591</v>
      </c>
      <c r="I208" s="22">
        <f t="shared" si="24"/>
        <v>10</v>
      </c>
      <c r="J208" s="22" t="str">
        <f t="shared" si="25"/>
        <v>Oct</v>
      </c>
      <c r="K208" s="22" t="str">
        <f t="shared" si="26"/>
        <v>Q4</v>
      </c>
      <c r="L208" s="22">
        <v>1</v>
      </c>
      <c r="M208" s="24">
        <v>3321.49</v>
      </c>
      <c r="N208" s="25">
        <v>0.2</v>
      </c>
      <c r="O208" s="24">
        <f>IFERROR(INDEX(Products!$D$2:$D$31,MATCH(E208,Products!$A$2:$A$31,0)),0)</f>
        <v>2163.09</v>
      </c>
      <c r="P208" s="24">
        <f t="shared" si="27"/>
        <v>2657.19</v>
      </c>
      <c r="Q208" s="24">
        <f t="shared" si="28"/>
        <v>494.1</v>
      </c>
      <c r="R208" s="26">
        <f t="shared" si="29"/>
        <v>0.18594831382023869</v>
      </c>
      <c r="S208" s="22" t="str">
        <f t="shared" si="30"/>
        <v>Regular</v>
      </c>
      <c r="T208" s="27" t="str">
        <f t="shared" si="31"/>
        <v>Medium</v>
      </c>
    </row>
    <row r="209" spans="1:20" ht="14.25" customHeight="1" x14ac:dyDescent="0.3">
      <c r="A209" s="21" t="s">
        <v>318</v>
      </c>
      <c r="B209" s="22" t="s">
        <v>123</v>
      </c>
      <c r="C209" s="22" t="str">
        <f>IFERROR(INDEX(Customers!$B$2:$B$31,MATCH(B209,Customers!$A$2:$A$31,0)),"Unknown")</f>
        <v>Kabir Gupta</v>
      </c>
      <c r="D209" s="22" t="str">
        <f>IFERROR(INDEX(Customers!$D$2:$D$31,MATCH(B209,Customers!$A$2:$A$31,0)),"Unknown")</f>
        <v>Central</v>
      </c>
      <c r="E209" s="22" t="s">
        <v>177</v>
      </c>
      <c r="F209" s="22" t="str">
        <f>IFERROR(INDEX(Products!$B$2:$B$31,MATCH(E209,Products!$A$2:$A$31,0)),"Unknown")</f>
        <v>Sports Shorts</v>
      </c>
      <c r="G209" s="22" t="str">
        <f>IFERROR(INDEX(Products!$C$2:$C$31,MATCH(E209,Products!$A$2:$A$31,0)),"Unknown")</f>
        <v>Apparel</v>
      </c>
      <c r="H209" s="23">
        <v>45592</v>
      </c>
      <c r="I209" s="22">
        <f t="shared" si="24"/>
        <v>10</v>
      </c>
      <c r="J209" s="22" t="str">
        <f t="shared" si="25"/>
        <v>Oct</v>
      </c>
      <c r="K209" s="22" t="str">
        <f t="shared" si="26"/>
        <v>Q4</v>
      </c>
      <c r="L209" s="22">
        <v>8</v>
      </c>
      <c r="M209" s="24">
        <v>1611.02</v>
      </c>
      <c r="N209" s="25">
        <v>0.05</v>
      </c>
      <c r="O209" s="24">
        <f>IFERROR(INDEX(Products!$D$2:$D$31,MATCH(E209,Products!$A$2:$A$31,0)),0)</f>
        <v>1046.55</v>
      </c>
      <c r="P209" s="24">
        <f t="shared" si="27"/>
        <v>12243.75</v>
      </c>
      <c r="Q209" s="24">
        <f t="shared" si="28"/>
        <v>3871.35</v>
      </c>
      <c r="R209" s="26">
        <f t="shared" si="29"/>
        <v>0.31618989280245025</v>
      </c>
      <c r="S209" s="22" t="str">
        <f t="shared" si="30"/>
        <v>Bulk</v>
      </c>
      <c r="T209" s="27" t="str">
        <f t="shared" si="31"/>
        <v>High</v>
      </c>
    </row>
    <row r="210" spans="1:20" ht="14.25" customHeight="1" x14ac:dyDescent="0.3">
      <c r="A210" s="21" t="s">
        <v>319</v>
      </c>
      <c r="B210" s="22" t="s">
        <v>88</v>
      </c>
      <c r="C210" s="22" t="str">
        <f>IFERROR(INDEX(Customers!$B$2:$B$31,MATCH(B210,Customers!$A$2:$A$31,0)),"Unknown")</f>
        <v>Zara Khan</v>
      </c>
      <c r="D210" s="22" t="str">
        <f>IFERROR(INDEX(Customers!$D$2:$D$31,MATCH(B210,Customers!$A$2:$A$31,0)),"Unknown")</f>
        <v>North</v>
      </c>
      <c r="E210" s="22" t="s">
        <v>108</v>
      </c>
      <c r="F210" s="22" t="str">
        <f>IFERROR(INDEX(Products!$B$2:$B$31,MATCH(E210,Products!$A$2:$A$31,0)),"Unknown")</f>
        <v>Denim Jeans</v>
      </c>
      <c r="G210" s="22" t="str">
        <f>IFERROR(INDEX(Products!$C$2:$C$31,MATCH(E210,Products!$A$2:$A$31,0)),"Unknown")</f>
        <v>Apparel</v>
      </c>
      <c r="H210" s="23">
        <v>45592</v>
      </c>
      <c r="I210" s="22">
        <f t="shared" si="24"/>
        <v>10</v>
      </c>
      <c r="J210" s="22" t="str">
        <f t="shared" si="25"/>
        <v>Oct</v>
      </c>
      <c r="K210" s="22" t="str">
        <f t="shared" si="26"/>
        <v>Q4</v>
      </c>
      <c r="L210" s="22">
        <v>4</v>
      </c>
      <c r="M210" s="24">
        <v>1085.1099999999999</v>
      </c>
      <c r="N210" s="25">
        <v>0</v>
      </c>
      <c r="O210" s="24">
        <f>IFERROR(INDEX(Products!$D$2:$D$31,MATCH(E210,Products!$A$2:$A$31,0)),0)</f>
        <v>715.83</v>
      </c>
      <c r="P210" s="24">
        <f t="shared" si="27"/>
        <v>4340.4399999999996</v>
      </c>
      <c r="Q210" s="24">
        <f t="shared" si="28"/>
        <v>1477.12</v>
      </c>
      <c r="R210" s="26">
        <f t="shared" si="29"/>
        <v>0.34031572835933682</v>
      </c>
      <c r="S210" s="22" t="str">
        <f t="shared" si="30"/>
        <v>Regular</v>
      </c>
      <c r="T210" s="27" t="str">
        <f t="shared" si="31"/>
        <v>High</v>
      </c>
    </row>
    <row r="211" spans="1:20" ht="14.25" customHeight="1" x14ac:dyDescent="0.3">
      <c r="A211" s="21" t="s">
        <v>320</v>
      </c>
      <c r="B211" s="22" t="s">
        <v>88</v>
      </c>
      <c r="C211" s="22" t="str">
        <f>IFERROR(INDEX(Customers!$B$2:$B$31,MATCH(B211,Customers!$A$2:$A$31,0)),"Unknown")</f>
        <v>Zara Khan</v>
      </c>
      <c r="D211" s="22" t="str">
        <f>IFERROR(INDEX(Customers!$D$2:$D$31,MATCH(B211,Customers!$A$2:$A$31,0)),"Unknown")</f>
        <v>North</v>
      </c>
      <c r="E211" s="22" t="s">
        <v>163</v>
      </c>
      <c r="F211" s="22" t="str">
        <f>IFERROR(INDEX(Products!$B$2:$B$31,MATCH(E211,Products!$A$2:$A$31,0)),"Unknown")</f>
        <v>Formal Shirt</v>
      </c>
      <c r="G211" s="22" t="str">
        <f>IFERROR(INDEX(Products!$C$2:$C$31,MATCH(E211,Products!$A$2:$A$31,0)),"Unknown")</f>
        <v>Apparel</v>
      </c>
      <c r="H211" s="23">
        <v>45593</v>
      </c>
      <c r="I211" s="22">
        <f t="shared" si="24"/>
        <v>10</v>
      </c>
      <c r="J211" s="22" t="str">
        <f t="shared" si="25"/>
        <v>Oct</v>
      </c>
      <c r="K211" s="22" t="str">
        <f t="shared" si="26"/>
        <v>Q4</v>
      </c>
      <c r="L211" s="22">
        <v>4</v>
      </c>
      <c r="M211" s="24">
        <v>1723.74</v>
      </c>
      <c r="N211" s="25">
        <v>0.15</v>
      </c>
      <c r="O211" s="24">
        <f>IFERROR(INDEX(Products!$D$2:$D$31,MATCH(E211,Products!$A$2:$A$31,0)),0)</f>
        <v>1494.7</v>
      </c>
      <c r="P211" s="24">
        <f t="shared" si="27"/>
        <v>5860.72</v>
      </c>
      <c r="Q211" s="24">
        <f t="shared" si="28"/>
        <v>-118.08</v>
      </c>
      <c r="R211" s="26">
        <f t="shared" si="29"/>
        <v>-2.0147695163734148E-2</v>
      </c>
      <c r="S211" s="22" t="str">
        <f t="shared" si="30"/>
        <v>Regular</v>
      </c>
      <c r="T211" s="27" t="str">
        <f t="shared" si="31"/>
        <v>Low</v>
      </c>
    </row>
    <row r="212" spans="1:20" ht="14.25" customHeight="1" x14ac:dyDescent="0.3">
      <c r="A212" s="21" t="s">
        <v>321</v>
      </c>
      <c r="B212" s="22" t="s">
        <v>62</v>
      </c>
      <c r="C212" s="22" t="str">
        <f>IFERROR(INDEX(Customers!$B$2:$B$31,MATCH(B212,Customers!$A$2:$A$31,0)),"Unknown")</f>
        <v>Ira Singh</v>
      </c>
      <c r="D212" s="22" t="str">
        <f>IFERROR(INDEX(Customers!$D$2:$D$31,MATCH(B212,Customers!$A$2:$A$31,0)),"Unknown")</f>
        <v>West</v>
      </c>
      <c r="E212" s="22" t="s">
        <v>82</v>
      </c>
      <c r="F212" s="22" t="str">
        <f>IFERROR(INDEX(Products!$B$2:$B$31,MATCH(E212,Products!$A$2:$A$31,0)),"Unknown")</f>
        <v>Hoodie</v>
      </c>
      <c r="G212" s="22" t="str">
        <f>IFERROR(INDEX(Products!$C$2:$C$31,MATCH(E212,Products!$A$2:$A$31,0)),"Unknown")</f>
        <v>Apparel</v>
      </c>
      <c r="H212" s="23">
        <v>45593</v>
      </c>
      <c r="I212" s="22">
        <f t="shared" si="24"/>
        <v>10</v>
      </c>
      <c r="J212" s="22" t="str">
        <f t="shared" si="25"/>
        <v>Oct</v>
      </c>
      <c r="K212" s="22" t="str">
        <f t="shared" si="26"/>
        <v>Q4</v>
      </c>
      <c r="L212" s="22">
        <v>5</v>
      </c>
      <c r="M212" s="24">
        <v>3584.61</v>
      </c>
      <c r="N212" s="25">
        <v>0.2</v>
      </c>
      <c r="O212" s="24">
        <f>IFERROR(INDEX(Products!$D$2:$D$31,MATCH(E212,Products!$A$2:$A$31,0)),0)</f>
        <v>2252.73</v>
      </c>
      <c r="P212" s="24">
        <f t="shared" si="27"/>
        <v>14338.44</v>
      </c>
      <c r="Q212" s="24">
        <f t="shared" si="28"/>
        <v>3074.79</v>
      </c>
      <c r="R212" s="26">
        <f t="shared" si="29"/>
        <v>0.21444383070961692</v>
      </c>
      <c r="S212" s="22" t="str">
        <f t="shared" si="30"/>
        <v>Bulk</v>
      </c>
      <c r="T212" s="27" t="str">
        <f t="shared" si="31"/>
        <v>Medium</v>
      </c>
    </row>
    <row r="213" spans="1:20" ht="14.25" customHeight="1" x14ac:dyDescent="0.3">
      <c r="A213" s="21" t="s">
        <v>322</v>
      </c>
      <c r="B213" s="22" t="s">
        <v>205</v>
      </c>
      <c r="C213" s="22" t="str">
        <f>IFERROR(INDEX(Customers!$B$2:$B$31,MATCH(B213,Customers!$A$2:$A$31,0)),"Unknown")</f>
        <v>Ayaan Kapoor</v>
      </c>
      <c r="D213" s="22" t="str">
        <f>IFERROR(INDEX(Customers!$D$2:$D$31,MATCH(B213,Customers!$A$2:$A$31,0)),"Unknown")</f>
        <v>South</v>
      </c>
      <c r="E213" s="22" t="s">
        <v>99</v>
      </c>
      <c r="F213" s="22" t="str">
        <f>IFERROR(INDEX(Products!$B$2:$B$31,MATCH(E213,Products!$A$2:$A$31,0)),"Unknown")</f>
        <v>Moisturizer</v>
      </c>
      <c r="G213" s="22" t="str">
        <f>IFERROR(INDEX(Products!$C$2:$C$31,MATCH(E213,Products!$A$2:$A$31,0)),"Unknown")</f>
        <v>Beauty</v>
      </c>
      <c r="H213" s="23">
        <v>45595</v>
      </c>
      <c r="I213" s="22">
        <f t="shared" si="24"/>
        <v>10</v>
      </c>
      <c r="J213" s="22" t="str">
        <f t="shared" si="25"/>
        <v>Oct</v>
      </c>
      <c r="K213" s="22" t="str">
        <f t="shared" si="26"/>
        <v>Q4</v>
      </c>
      <c r="L213" s="22">
        <v>8</v>
      </c>
      <c r="M213" s="24">
        <v>3454.78</v>
      </c>
      <c r="N213" s="25">
        <v>0</v>
      </c>
      <c r="O213" s="24">
        <f>IFERROR(INDEX(Products!$D$2:$D$31,MATCH(E213,Products!$A$2:$A$31,0)),0)</f>
        <v>2490.61</v>
      </c>
      <c r="P213" s="24">
        <f t="shared" si="27"/>
        <v>27638.240000000002</v>
      </c>
      <c r="Q213" s="24">
        <f t="shared" si="28"/>
        <v>7713.36</v>
      </c>
      <c r="R213" s="26">
        <f t="shared" si="29"/>
        <v>0.27908289384562834</v>
      </c>
      <c r="S213" s="22" t="str">
        <f t="shared" si="30"/>
        <v>Bulk</v>
      </c>
      <c r="T213" s="27" t="str">
        <f t="shared" si="31"/>
        <v>Medium</v>
      </c>
    </row>
    <row r="214" spans="1:20" ht="14.25" customHeight="1" x14ac:dyDescent="0.3">
      <c r="A214" s="21" t="s">
        <v>323</v>
      </c>
      <c r="B214" s="22" t="s">
        <v>116</v>
      </c>
      <c r="C214" s="22" t="str">
        <f>IFERROR(INDEX(Customers!$B$2:$B$31,MATCH(B214,Customers!$A$2:$A$31,0)),"Unknown")</f>
        <v>Kabir Patel</v>
      </c>
      <c r="D214" s="22" t="str">
        <f>IFERROR(INDEX(Customers!$D$2:$D$31,MATCH(B214,Customers!$A$2:$A$31,0)),"Unknown")</f>
        <v>Central</v>
      </c>
      <c r="E214" s="22" t="s">
        <v>120</v>
      </c>
      <c r="F214" s="22" t="str">
        <f>IFERROR(INDEX(Products!$B$2:$B$31,MATCH(E214,Products!$A$2:$A$31,0)),"Unknown")</f>
        <v>Kids Story Book</v>
      </c>
      <c r="G214" s="22" t="str">
        <f>IFERROR(INDEX(Products!$C$2:$C$31,MATCH(E214,Products!$A$2:$A$31,0)),"Unknown")</f>
        <v>Books</v>
      </c>
      <c r="H214" s="23">
        <v>45596</v>
      </c>
      <c r="I214" s="22">
        <f t="shared" si="24"/>
        <v>10</v>
      </c>
      <c r="J214" s="22" t="str">
        <f t="shared" si="25"/>
        <v>Oct</v>
      </c>
      <c r="K214" s="22" t="str">
        <f t="shared" si="26"/>
        <v>Q4</v>
      </c>
      <c r="L214" s="22">
        <v>1</v>
      </c>
      <c r="M214" s="24">
        <v>1573.92</v>
      </c>
      <c r="N214" s="25">
        <v>0.05</v>
      </c>
      <c r="O214" s="24">
        <f>IFERROR(INDEX(Products!$D$2:$D$31,MATCH(E214,Products!$A$2:$A$31,0)),0)</f>
        <v>1101.6300000000001</v>
      </c>
      <c r="P214" s="24">
        <f t="shared" si="27"/>
        <v>1495.22</v>
      </c>
      <c r="Q214" s="24">
        <f t="shared" si="28"/>
        <v>393.59</v>
      </c>
      <c r="R214" s="26">
        <f t="shared" si="29"/>
        <v>0.26323216650392584</v>
      </c>
      <c r="S214" s="22" t="str">
        <f t="shared" si="30"/>
        <v>Regular</v>
      </c>
      <c r="T214" s="27" t="str">
        <f t="shared" si="31"/>
        <v>Medium</v>
      </c>
    </row>
    <row r="215" spans="1:20" ht="14.25" customHeight="1" x14ac:dyDescent="0.3">
      <c r="A215" s="21" t="s">
        <v>324</v>
      </c>
      <c r="B215" s="22" t="s">
        <v>104</v>
      </c>
      <c r="C215" s="22" t="str">
        <f>IFERROR(INDEX(Customers!$B$2:$B$31,MATCH(B215,Customers!$A$2:$A$31,0)),"Unknown")</f>
        <v>Ishaan Chatterjee</v>
      </c>
      <c r="D215" s="22" t="str">
        <f>IFERROR(INDEX(Customers!$D$2:$D$31,MATCH(B215,Customers!$A$2:$A$31,0)),"Unknown")</f>
        <v>West</v>
      </c>
      <c r="E215" s="22" t="s">
        <v>155</v>
      </c>
      <c r="F215" s="22" t="str">
        <f>IFERROR(INDEX(Products!$B$2:$B$31,MATCH(E215,Products!$A$2:$A$31,0)),"Unknown")</f>
        <v>Lipstick</v>
      </c>
      <c r="G215" s="22" t="str">
        <f>IFERROR(INDEX(Products!$C$2:$C$31,MATCH(E215,Products!$A$2:$A$31,0)),"Unknown")</f>
        <v>Beauty</v>
      </c>
      <c r="H215" s="23">
        <v>45596</v>
      </c>
      <c r="I215" s="22">
        <f t="shared" si="24"/>
        <v>10</v>
      </c>
      <c r="J215" s="22" t="str">
        <f t="shared" si="25"/>
        <v>Oct</v>
      </c>
      <c r="K215" s="22" t="str">
        <f t="shared" si="26"/>
        <v>Q4</v>
      </c>
      <c r="L215" s="22">
        <v>8</v>
      </c>
      <c r="M215" s="24">
        <v>1742.84</v>
      </c>
      <c r="N215" s="25">
        <v>0</v>
      </c>
      <c r="O215" s="24">
        <f>IFERROR(INDEX(Products!$D$2:$D$31,MATCH(E215,Products!$A$2:$A$31,0)),0)</f>
        <v>1360.46</v>
      </c>
      <c r="P215" s="24">
        <f t="shared" si="27"/>
        <v>13942.72</v>
      </c>
      <c r="Q215" s="24">
        <f t="shared" si="28"/>
        <v>3059.04</v>
      </c>
      <c r="R215" s="26">
        <f t="shared" si="29"/>
        <v>0.21940051869362651</v>
      </c>
      <c r="S215" s="22" t="str">
        <f t="shared" si="30"/>
        <v>Bulk</v>
      </c>
      <c r="T215" s="27" t="str">
        <f t="shared" si="31"/>
        <v>Medium</v>
      </c>
    </row>
    <row r="216" spans="1:20" ht="14.25" customHeight="1" x14ac:dyDescent="0.3">
      <c r="A216" s="21" t="s">
        <v>325</v>
      </c>
      <c r="B216" s="22" t="s">
        <v>199</v>
      </c>
      <c r="C216" s="22" t="str">
        <f>IFERROR(INDEX(Customers!$B$2:$B$31,MATCH(B216,Customers!$A$2:$A$31,0)),"Unknown")</f>
        <v>Sai Kapoor</v>
      </c>
      <c r="D216" s="22" t="str">
        <f>IFERROR(INDEX(Customers!$D$2:$D$31,MATCH(B216,Customers!$A$2:$A$31,0)),"Unknown")</f>
        <v>South</v>
      </c>
      <c r="E216" s="22" t="s">
        <v>177</v>
      </c>
      <c r="F216" s="22" t="str">
        <f>IFERROR(INDEX(Products!$B$2:$B$31,MATCH(E216,Products!$A$2:$A$31,0)),"Unknown")</f>
        <v>Sports Shorts</v>
      </c>
      <c r="G216" s="22" t="str">
        <f>IFERROR(INDEX(Products!$C$2:$C$31,MATCH(E216,Products!$A$2:$A$31,0)),"Unknown")</f>
        <v>Apparel</v>
      </c>
      <c r="H216" s="23">
        <v>45599</v>
      </c>
      <c r="I216" s="22">
        <f t="shared" si="24"/>
        <v>11</v>
      </c>
      <c r="J216" s="22" t="str">
        <f t="shared" si="25"/>
        <v>Nov</v>
      </c>
      <c r="K216" s="22" t="str">
        <f t="shared" si="26"/>
        <v>Q4</v>
      </c>
      <c r="L216" s="22">
        <v>5</v>
      </c>
      <c r="M216" s="24">
        <v>1369.14</v>
      </c>
      <c r="N216" s="25">
        <v>0.1</v>
      </c>
      <c r="O216" s="24">
        <f>IFERROR(INDEX(Products!$D$2:$D$31,MATCH(E216,Products!$A$2:$A$31,0)),0)</f>
        <v>1046.55</v>
      </c>
      <c r="P216" s="24">
        <f t="shared" si="27"/>
        <v>6161.13</v>
      </c>
      <c r="Q216" s="24">
        <f t="shared" si="28"/>
        <v>928.38</v>
      </c>
      <c r="R216" s="26">
        <f t="shared" si="29"/>
        <v>0.15068339736379527</v>
      </c>
      <c r="S216" s="22" t="str">
        <f t="shared" si="30"/>
        <v>Bulk</v>
      </c>
      <c r="T216" s="27" t="str">
        <f t="shared" si="31"/>
        <v>Medium</v>
      </c>
    </row>
    <row r="217" spans="1:20" ht="14.25" customHeight="1" x14ac:dyDescent="0.3">
      <c r="A217" s="21" t="s">
        <v>326</v>
      </c>
      <c r="B217" s="22" t="s">
        <v>71</v>
      </c>
      <c r="C217" s="22" t="str">
        <f>IFERROR(INDEX(Customers!$B$2:$B$31,MATCH(B217,Customers!$A$2:$A$31,0)),"Unknown")</f>
        <v>Imran Mehta</v>
      </c>
      <c r="D217" s="22" t="str">
        <f>IFERROR(INDEX(Customers!$D$2:$D$31,MATCH(B217,Customers!$A$2:$A$31,0)),"Unknown")</f>
        <v>Central</v>
      </c>
      <c r="E217" s="22" t="s">
        <v>97</v>
      </c>
      <c r="F217" s="22" t="str">
        <f>IFERROR(INDEX(Products!$B$2:$B$31,MATCH(E217,Products!$A$2:$A$31,0)),"Unknown")</f>
        <v>Cotton T-Shirt</v>
      </c>
      <c r="G217" s="22" t="str">
        <f>IFERROR(INDEX(Products!$C$2:$C$31,MATCH(E217,Products!$A$2:$A$31,0)),"Unknown")</f>
        <v>Apparel</v>
      </c>
      <c r="H217" s="23">
        <v>45600</v>
      </c>
      <c r="I217" s="22">
        <f t="shared" si="24"/>
        <v>11</v>
      </c>
      <c r="J217" s="22" t="str">
        <f t="shared" si="25"/>
        <v>Nov</v>
      </c>
      <c r="K217" s="22" t="str">
        <f t="shared" si="26"/>
        <v>Q4</v>
      </c>
      <c r="L217" s="22">
        <v>3</v>
      </c>
      <c r="M217" s="24">
        <v>2121.4</v>
      </c>
      <c r="N217" s="25">
        <v>0.15</v>
      </c>
      <c r="O217" s="24">
        <f>IFERROR(INDEX(Products!$D$2:$D$31,MATCH(E217,Products!$A$2:$A$31,0)),0)</f>
        <v>1438.51</v>
      </c>
      <c r="P217" s="24">
        <f t="shared" si="27"/>
        <v>5409.57</v>
      </c>
      <c r="Q217" s="24">
        <f t="shared" si="28"/>
        <v>1094.04</v>
      </c>
      <c r="R217" s="26">
        <f t="shared" si="29"/>
        <v>0.20224158297239891</v>
      </c>
      <c r="S217" s="22" t="str">
        <f t="shared" si="30"/>
        <v>Regular</v>
      </c>
      <c r="T217" s="27" t="str">
        <f t="shared" si="31"/>
        <v>Medium</v>
      </c>
    </row>
    <row r="218" spans="1:20" ht="14.25" customHeight="1" x14ac:dyDescent="0.3">
      <c r="A218" s="21" t="s">
        <v>327</v>
      </c>
      <c r="B218" s="22" t="s">
        <v>123</v>
      </c>
      <c r="C218" s="22" t="str">
        <f>IFERROR(INDEX(Customers!$B$2:$B$31,MATCH(B218,Customers!$A$2:$A$31,0)),"Unknown")</f>
        <v>Kabir Gupta</v>
      </c>
      <c r="D218" s="22" t="str">
        <f>IFERROR(INDEX(Customers!$D$2:$D$31,MATCH(B218,Customers!$A$2:$A$31,0)),"Unknown")</f>
        <v>Central</v>
      </c>
      <c r="E218" s="22" t="s">
        <v>69</v>
      </c>
      <c r="F218" s="22" t="str">
        <f>IFERROR(INDEX(Products!$B$2:$B$31,MATCH(E218,Products!$A$2:$A$31,0)),"Unknown")</f>
        <v>Non-Stick Pan</v>
      </c>
      <c r="G218" s="22" t="str">
        <f>IFERROR(INDEX(Products!$C$2:$C$31,MATCH(E218,Products!$A$2:$A$31,0)),"Unknown")</f>
        <v>Home &amp; Kitchen</v>
      </c>
      <c r="H218" s="23">
        <v>45601</v>
      </c>
      <c r="I218" s="22">
        <f t="shared" si="24"/>
        <v>11</v>
      </c>
      <c r="J218" s="22" t="str">
        <f t="shared" si="25"/>
        <v>Nov</v>
      </c>
      <c r="K218" s="22" t="str">
        <f t="shared" si="26"/>
        <v>Q4</v>
      </c>
      <c r="L218" s="22">
        <v>5</v>
      </c>
      <c r="M218" s="24">
        <v>709.48</v>
      </c>
      <c r="N218" s="25">
        <v>0</v>
      </c>
      <c r="O218" s="24">
        <f>IFERROR(INDEX(Products!$D$2:$D$31,MATCH(E218,Products!$A$2:$A$31,0)),0)</f>
        <v>610.76</v>
      </c>
      <c r="P218" s="24">
        <f t="shared" si="27"/>
        <v>3547.4</v>
      </c>
      <c r="Q218" s="24">
        <f t="shared" si="28"/>
        <v>493.6</v>
      </c>
      <c r="R218" s="26">
        <f t="shared" si="29"/>
        <v>0.13914416192140724</v>
      </c>
      <c r="S218" s="22" t="str">
        <f t="shared" si="30"/>
        <v>Bulk</v>
      </c>
      <c r="T218" s="27" t="str">
        <f t="shared" si="31"/>
        <v>Low</v>
      </c>
    </row>
    <row r="219" spans="1:20" ht="14.25" customHeight="1" x14ac:dyDescent="0.3">
      <c r="A219" s="21" t="s">
        <v>328</v>
      </c>
      <c r="B219" s="22" t="s">
        <v>76</v>
      </c>
      <c r="C219" s="22" t="str">
        <f>IFERROR(INDEX(Customers!$B$2:$B$31,MATCH(B219,Customers!$A$2:$A$31,0)),"Unknown")</f>
        <v>Aisha Sharma</v>
      </c>
      <c r="D219" s="22" t="str">
        <f>IFERROR(INDEX(Customers!$D$2:$D$31,MATCH(B219,Customers!$A$2:$A$31,0)),"Unknown")</f>
        <v>Central</v>
      </c>
      <c r="E219" s="22" t="s">
        <v>77</v>
      </c>
      <c r="F219" s="22" t="str">
        <f>IFERROR(INDEX(Products!$B$2:$B$31,MATCH(E219,Products!$A$2:$A$31,0)),"Unknown")</f>
        <v>Fiction Novel</v>
      </c>
      <c r="G219" s="22" t="str">
        <f>IFERROR(INDEX(Products!$C$2:$C$31,MATCH(E219,Products!$A$2:$A$31,0)),"Unknown")</f>
        <v>Books</v>
      </c>
      <c r="H219" s="23">
        <v>45602</v>
      </c>
      <c r="I219" s="22">
        <f t="shared" si="24"/>
        <v>11</v>
      </c>
      <c r="J219" s="22" t="str">
        <f t="shared" si="25"/>
        <v>Nov</v>
      </c>
      <c r="K219" s="22" t="str">
        <f t="shared" si="26"/>
        <v>Q4</v>
      </c>
      <c r="L219" s="22">
        <v>8</v>
      </c>
      <c r="M219" s="24">
        <v>461.52</v>
      </c>
      <c r="N219" s="25">
        <v>0</v>
      </c>
      <c r="O219" s="24">
        <f>IFERROR(INDEX(Products!$D$2:$D$31,MATCH(E219,Products!$A$2:$A$31,0)),0)</f>
        <v>345.35</v>
      </c>
      <c r="P219" s="24">
        <f t="shared" si="27"/>
        <v>3692.16</v>
      </c>
      <c r="Q219" s="24">
        <f t="shared" si="28"/>
        <v>929.36</v>
      </c>
      <c r="R219" s="26">
        <f t="shared" si="29"/>
        <v>0.25171173513607215</v>
      </c>
      <c r="S219" s="22" t="str">
        <f t="shared" si="30"/>
        <v>Bulk</v>
      </c>
      <c r="T219" s="27" t="str">
        <f t="shared" si="31"/>
        <v>Medium</v>
      </c>
    </row>
    <row r="220" spans="1:20" ht="14.25" customHeight="1" x14ac:dyDescent="0.3">
      <c r="A220" s="21" t="s">
        <v>329</v>
      </c>
      <c r="B220" s="22" t="s">
        <v>59</v>
      </c>
      <c r="C220" s="22" t="str">
        <f>IFERROR(INDEX(Customers!$B$2:$B$31,MATCH(B220,Customers!$A$2:$A$31,0)),"Unknown")</f>
        <v>Diya Reddy</v>
      </c>
      <c r="D220" s="22" t="str">
        <f>IFERROR(INDEX(Customers!$D$2:$D$31,MATCH(B220,Customers!$A$2:$A$31,0)),"Unknown")</f>
        <v>East</v>
      </c>
      <c r="E220" s="22" t="s">
        <v>82</v>
      </c>
      <c r="F220" s="22" t="str">
        <f>IFERROR(INDEX(Products!$B$2:$B$31,MATCH(E220,Products!$A$2:$A$31,0)),"Unknown")</f>
        <v>Hoodie</v>
      </c>
      <c r="G220" s="22" t="str">
        <f>IFERROR(INDEX(Products!$C$2:$C$31,MATCH(E220,Products!$A$2:$A$31,0)),"Unknown")</f>
        <v>Apparel</v>
      </c>
      <c r="H220" s="23">
        <v>45607</v>
      </c>
      <c r="I220" s="22">
        <f t="shared" si="24"/>
        <v>11</v>
      </c>
      <c r="J220" s="22" t="str">
        <f t="shared" si="25"/>
        <v>Nov</v>
      </c>
      <c r="K220" s="22" t="str">
        <f t="shared" si="26"/>
        <v>Q4</v>
      </c>
      <c r="L220" s="22">
        <v>8</v>
      </c>
      <c r="M220" s="24">
        <v>3061.9</v>
      </c>
      <c r="N220" s="25">
        <v>0.2</v>
      </c>
      <c r="O220" s="24">
        <f>IFERROR(INDEX(Products!$D$2:$D$31,MATCH(E220,Products!$A$2:$A$31,0)),0)</f>
        <v>2252.73</v>
      </c>
      <c r="P220" s="24">
        <f t="shared" si="27"/>
        <v>19596.16</v>
      </c>
      <c r="Q220" s="24">
        <f t="shared" si="28"/>
        <v>1574.32</v>
      </c>
      <c r="R220" s="26">
        <f t="shared" si="29"/>
        <v>8.0338188706358796E-2</v>
      </c>
      <c r="S220" s="22" t="str">
        <f t="shared" si="30"/>
        <v>Bulk</v>
      </c>
      <c r="T220" s="27" t="str">
        <f t="shared" si="31"/>
        <v>Low</v>
      </c>
    </row>
    <row r="221" spans="1:20" ht="14.25" customHeight="1" x14ac:dyDescent="0.3">
      <c r="A221" s="21" t="s">
        <v>330</v>
      </c>
      <c r="B221" s="22" t="s">
        <v>112</v>
      </c>
      <c r="C221" s="22" t="str">
        <f>IFERROR(INDEX(Customers!$B$2:$B$31,MATCH(B221,Customers!$A$2:$A$31,0)),"Unknown")</f>
        <v>Ayaan Patel</v>
      </c>
      <c r="D221" s="22" t="str">
        <f>IFERROR(INDEX(Customers!$D$2:$D$31,MATCH(B221,Customers!$A$2:$A$31,0)),"Unknown")</f>
        <v>North</v>
      </c>
      <c r="E221" s="22" t="s">
        <v>74</v>
      </c>
      <c r="F221" s="22" t="str">
        <f>IFERROR(INDEX(Products!$B$2:$B$31,MATCH(E221,Products!$A$2:$A$31,0)),"Unknown")</f>
        <v>Notebook Set</v>
      </c>
      <c r="G221" s="22" t="str">
        <f>IFERROR(INDEX(Products!$C$2:$C$31,MATCH(E221,Products!$A$2:$A$31,0)),"Unknown")</f>
        <v>Books</v>
      </c>
      <c r="H221" s="23">
        <v>45608</v>
      </c>
      <c r="I221" s="22">
        <f t="shared" si="24"/>
        <v>11</v>
      </c>
      <c r="J221" s="22" t="str">
        <f t="shared" si="25"/>
        <v>Nov</v>
      </c>
      <c r="K221" s="22" t="str">
        <f t="shared" si="26"/>
        <v>Q4</v>
      </c>
      <c r="L221" s="22">
        <v>4</v>
      </c>
      <c r="M221" s="24">
        <v>350.39</v>
      </c>
      <c r="N221" s="25">
        <v>0.05</v>
      </c>
      <c r="O221" s="24">
        <f>IFERROR(INDEX(Products!$D$2:$D$31,MATCH(E221,Products!$A$2:$A$31,0)),0)</f>
        <v>233.74</v>
      </c>
      <c r="P221" s="24">
        <f t="shared" si="27"/>
        <v>1331.48</v>
      </c>
      <c r="Q221" s="24">
        <f t="shared" si="28"/>
        <v>396.52</v>
      </c>
      <c r="R221" s="26">
        <f t="shared" si="29"/>
        <v>0.29780394748700695</v>
      </c>
      <c r="S221" s="22" t="str">
        <f t="shared" si="30"/>
        <v>Regular</v>
      </c>
      <c r="T221" s="27" t="str">
        <f t="shared" si="31"/>
        <v>Medium</v>
      </c>
    </row>
    <row r="222" spans="1:20" ht="14.25" customHeight="1" x14ac:dyDescent="0.3">
      <c r="A222" s="21" t="s">
        <v>331</v>
      </c>
      <c r="B222" s="22" t="s">
        <v>144</v>
      </c>
      <c r="C222" s="22" t="str">
        <f>IFERROR(INDEX(Customers!$B$2:$B$31,MATCH(B222,Customers!$A$2:$A$31,0)),"Unknown")</f>
        <v>Navya Sharma</v>
      </c>
      <c r="D222" s="22" t="str">
        <f>IFERROR(INDEX(Customers!$D$2:$D$31,MATCH(B222,Customers!$A$2:$A$31,0)),"Unknown")</f>
        <v>South</v>
      </c>
      <c r="E222" s="22" t="s">
        <v>135</v>
      </c>
      <c r="F222" s="22" t="str">
        <f>IFERROR(INDEX(Products!$B$2:$B$31,MATCH(E222,Products!$A$2:$A$31,0)),"Unknown")</f>
        <v>Yoga Mat</v>
      </c>
      <c r="G222" s="22" t="str">
        <f>IFERROR(INDEX(Products!$C$2:$C$31,MATCH(E222,Products!$A$2:$A$31,0)),"Unknown")</f>
        <v>Sports</v>
      </c>
      <c r="H222" s="23">
        <v>45608</v>
      </c>
      <c r="I222" s="22">
        <f t="shared" si="24"/>
        <v>11</v>
      </c>
      <c r="J222" s="22" t="str">
        <f t="shared" si="25"/>
        <v>Nov</v>
      </c>
      <c r="K222" s="22" t="str">
        <f t="shared" si="26"/>
        <v>Q4</v>
      </c>
      <c r="L222" s="22">
        <v>8</v>
      </c>
      <c r="M222" s="24">
        <v>164.3</v>
      </c>
      <c r="N222" s="25">
        <v>0</v>
      </c>
      <c r="O222" s="24">
        <f>IFERROR(INDEX(Products!$D$2:$D$31,MATCH(E222,Products!$A$2:$A$31,0)),0)</f>
        <v>107.78</v>
      </c>
      <c r="P222" s="24">
        <f t="shared" si="27"/>
        <v>1314.4</v>
      </c>
      <c r="Q222" s="24">
        <f t="shared" si="28"/>
        <v>452.16</v>
      </c>
      <c r="R222" s="26">
        <f t="shared" si="29"/>
        <v>0.34400486914181377</v>
      </c>
      <c r="S222" s="22" t="str">
        <f t="shared" si="30"/>
        <v>Bulk</v>
      </c>
      <c r="T222" s="27" t="str">
        <f t="shared" si="31"/>
        <v>High</v>
      </c>
    </row>
    <row r="223" spans="1:20" ht="14.25" customHeight="1" x14ac:dyDescent="0.3">
      <c r="A223" s="21" t="s">
        <v>332</v>
      </c>
      <c r="B223" s="22" t="s">
        <v>79</v>
      </c>
      <c r="C223" s="22" t="str">
        <f>IFERROR(INDEX(Customers!$B$2:$B$31,MATCH(B223,Customers!$A$2:$A$31,0)),"Unknown")</f>
        <v>Imran Iyer</v>
      </c>
      <c r="D223" s="22" t="str">
        <f>IFERROR(INDEX(Customers!$D$2:$D$31,MATCH(B223,Customers!$A$2:$A$31,0)),"Unknown")</f>
        <v>North</v>
      </c>
      <c r="E223" s="22" t="s">
        <v>120</v>
      </c>
      <c r="F223" s="22" t="str">
        <f>IFERROR(INDEX(Products!$B$2:$B$31,MATCH(E223,Products!$A$2:$A$31,0)),"Unknown")</f>
        <v>Kids Story Book</v>
      </c>
      <c r="G223" s="22" t="str">
        <f>IFERROR(INDEX(Products!$C$2:$C$31,MATCH(E223,Products!$A$2:$A$31,0)),"Unknown")</f>
        <v>Books</v>
      </c>
      <c r="H223" s="23">
        <v>45609</v>
      </c>
      <c r="I223" s="22">
        <f t="shared" si="24"/>
        <v>11</v>
      </c>
      <c r="J223" s="22" t="str">
        <f t="shared" si="25"/>
        <v>Nov</v>
      </c>
      <c r="K223" s="22" t="str">
        <f t="shared" si="26"/>
        <v>Q4</v>
      </c>
      <c r="L223" s="22">
        <v>1</v>
      </c>
      <c r="M223" s="24">
        <v>1569.09</v>
      </c>
      <c r="N223" s="25">
        <v>0.15</v>
      </c>
      <c r="O223" s="24">
        <f>IFERROR(INDEX(Products!$D$2:$D$31,MATCH(E223,Products!$A$2:$A$31,0)),0)</f>
        <v>1101.6300000000001</v>
      </c>
      <c r="P223" s="24">
        <f t="shared" si="27"/>
        <v>1333.73</v>
      </c>
      <c r="Q223" s="24">
        <f t="shared" si="28"/>
        <v>232.1</v>
      </c>
      <c r="R223" s="26">
        <f t="shared" si="29"/>
        <v>0.17402322808964332</v>
      </c>
      <c r="S223" s="22" t="str">
        <f t="shared" si="30"/>
        <v>Regular</v>
      </c>
      <c r="T223" s="27" t="str">
        <f t="shared" si="31"/>
        <v>Medium</v>
      </c>
    </row>
    <row r="224" spans="1:20" ht="14.25" customHeight="1" x14ac:dyDescent="0.3">
      <c r="A224" s="21" t="s">
        <v>333</v>
      </c>
      <c r="B224" s="22" t="s">
        <v>158</v>
      </c>
      <c r="C224" s="22" t="str">
        <f>IFERROR(INDEX(Customers!$B$2:$B$31,MATCH(B224,Customers!$A$2:$A$31,0)),"Unknown")</f>
        <v>Kiara Khan</v>
      </c>
      <c r="D224" s="22" t="str">
        <f>IFERROR(INDEX(Customers!$D$2:$D$31,MATCH(B224,Customers!$A$2:$A$31,0)),"Unknown")</f>
        <v>Central</v>
      </c>
      <c r="E224" s="22" t="s">
        <v>86</v>
      </c>
      <c r="F224" s="22" t="str">
        <f>IFERROR(INDEX(Products!$B$2:$B$31,MATCH(E224,Products!$A$2:$A$31,0)),"Unknown")</f>
        <v>Electric Kettle</v>
      </c>
      <c r="G224" s="22" t="str">
        <f>IFERROR(INDEX(Products!$C$2:$C$31,MATCH(E224,Products!$A$2:$A$31,0)),"Unknown")</f>
        <v>Home &amp; Kitchen</v>
      </c>
      <c r="H224" s="23">
        <v>45610</v>
      </c>
      <c r="I224" s="22">
        <f t="shared" si="24"/>
        <v>11</v>
      </c>
      <c r="J224" s="22" t="str">
        <f t="shared" si="25"/>
        <v>Nov</v>
      </c>
      <c r="K224" s="22" t="str">
        <f t="shared" si="26"/>
        <v>Q4</v>
      </c>
      <c r="L224" s="22">
        <v>8</v>
      </c>
      <c r="M224" s="24">
        <v>3570.05</v>
      </c>
      <c r="N224" s="25">
        <v>0.2</v>
      </c>
      <c r="O224" s="24">
        <f>IFERROR(INDEX(Products!$D$2:$D$31,MATCH(E224,Products!$A$2:$A$31,0)),0)</f>
        <v>2494.04</v>
      </c>
      <c r="P224" s="24">
        <f t="shared" si="27"/>
        <v>22848.32</v>
      </c>
      <c r="Q224" s="24">
        <f t="shared" si="28"/>
        <v>2896</v>
      </c>
      <c r="R224" s="26">
        <f t="shared" si="29"/>
        <v>0.12674892508508284</v>
      </c>
      <c r="S224" s="22" t="str">
        <f t="shared" si="30"/>
        <v>Bulk</v>
      </c>
      <c r="T224" s="27" t="str">
        <f t="shared" si="31"/>
        <v>Low</v>
      </c>
    </row>
    <row r="225" spans="1:20" ht="14.25" customHeight="1" x14ac:dyDescent="0.3">
      <c r="A225" s="21" t="s">
        <v>334</v>
      </c>
      <c r="B225" s="22" t="s">
        <v>56</v>
      </c>
      <c r="C225" s="22" t="str">
        <f>IFERROR(INDEX(Customers!$B$2:$B$31,MATCH(B225,Customers!$A$2:$A$31,0)),"Unknown")</f>
        <v>Mohammed Patel</v>
      </c>
      <c r="D225" s="22" t="str">
        <f>IFERROR(INDEX(Customers!$D$2:$D$31,MATCH(B225,Customers!$A$2:$A$31,0)),"Unknown")</f>
        <v>East</v>
      </c>
      <c r="E225" s="22" t="s">
        <v>82</v>
      </c>
      <c r="F225" s="22" t="str">
        <f>IFERROR(INDEX(Products!$B$2:$B$31,MATCH(E225,Products!$A$2:$A$31,0)),"Unknown")</f>
        <v>Hoodie</v>
      </c>
      <c r="G225" s="22" t="str">
        <f>IFERROR(INDEX(Products!$C$2:$C$31,MATCH(E225,Products!$A$2:$A$31,0)),"Unknown")</f>
        <v>Apparel</v>
      </c>
      <c r="H225" s="23">
        <v>45612</v>
      </c>
      <c r="I225" s="22">
        <f t="shared" si="24"/>
        <v>11</v>
      </c>
      <c r="J225" s="22" t="str">
        <f t="shared" si="25"/>
        <v>Nov</v>
      </c>
      <c r="K225" s="22" t="str">
        <f t="shared" si="26"/>
        <v>Q4</v>
      </c>
      <c r="L225" s="22">
        <v>4</v>
      </c>
      <c r="M225" s="24">
        <v>3021.61</v>
      </c>
      <c r="N225" s="25">
        <v>0.1</v>
      </c>
      <c r="O225" s="24">
        <f>IFERROR(INDEX(Products!$D$2:$D$31,MATCH(E225,Products!$A$2:$A$31,0)),0)</f>
        <v>2252.73</v>
      </c>
      <c r="P225" s="24">
        <f t="shared" si="27"/>
        <v>10877.8</v>
      </c>
      <c r="Q225" s="24">
        <f t="shared" si="28"/>
        <v>1866.88</v>
      </c>
      <c r="R225" s="26">
        <f t="shared" si="29"/>
        <v>0.17162293846182133</v>
      </c>
      <c r="S225" s="22" t="str">
        <f t="shared" si="30"/>
        <v>Regular</v>
      </c>
      <c r="T225" s="27" t="str">
        <f t="shared" si="31"/>
        <v>Medium</v>
      </c>
    </row>
    <row r="226" spans="1:20" ht="14.25" customHeight="1" x14ac:dyDescent="0.3">
      <c r="A226" s="21" t="s">
        <v>335</v>
      </c>
      <c r="B226" s="22" t="s">
        <v>129</v>
      </c>
      <c r="C226" s="22" t="str">
        <f>IFERROR(INDEX(Customers!$B$2:$B$31,MATCH(B226,Customers!$A$2:$A$31,0)),"Unknown")</f>
        <v>Sana Chatterjee</v>
      </c>
      <c r="D226" s="22" t="str">
        <f>IFERROR(INDEX(Customers!$D$2:$D$31,MATCH(B226,Customers!$A$2:$A$31,0)),"Unknown")</f>
        <v>North</v>
      </c>
      <c r="E226" s="22" t="s">
        <v>97</v>
      </c>
      <c r="F226" s="22" t="str">
        <f>IFERROR(INDEX(Products!$B$2:$B$31,MATCH(E226,Products!$A$2:$A$31,0)),"Unknown")</f>
        <v>Cotton T-Shirt</v>
      </c>
      <c r="G226" s="22" t="str">
        <f>IFERROR(INDEX(Products!$C$2:$C$31,MATCH(E226,Products!$A$2:$A$31,0)),"Unknown")</f>
        <v>Apparel</v>
      </c>
      <c r="H226" s="23">
        <v>45613</v>
      </c>
      <c r="I226" s="22">
        <f t="shared" si="24"/>
        <v>11</v>
      </c>
      <c r="J226" s="22" t="str">
        <f t="shared" si="25"/>
        <v>Nov</v>
      </c>
      <c r="K226" s="22" t="str">
        <f t="shared" si="26"/>
        <v>Q4</v>
      </c>
      <c r="L226" s="22">
        <v>8</v>
      </c>
      <c r="M226" s="24">
        <v>1954.62</v>
      </c>
      <c r="N226" s="25">
        <v>0.1</v>
      </c>
      <c r="O226" s="24">
        <f>IFERROR(INDEX(Products!$D$2:$D$31,MATCH(E226,Products!$A$2:$A$31,0)),0)</f>
        <v>1438.51</v>
      </c>
      <c r="P226" s="24">
        <f t="shared" si="27"/>
        <v>14073.26</v>
      </c>
      <c r="Q226" s="24">
        <f t="shared" si="28"/>
        <v>2565.1799999999998</v>
      </c>
      <c r="R226" s="26">
        <f t="shared" si="29"/>
        <v>0.18227333254697203</v>
      </c>
      <c r="S226" s="22" t="str">
        <f t="shared" si="30"/>
        <v>Bulk</v>
      </c>
      <c r="T226" s="27" t="str">
        <f t="shared" si="31"/>
        <v>Medium</v>
      </c>
    </row>
    <row r="227" spans="1:20" ht="14.25" customHeight="1" x14ac:dyDescent="0.3">
      <c r="A227" s="21" t="s">
        <v>336</v>
      </c>
      <c r="B227" s="22" t="s">
        <v>158</v>
      </c>
      <c r="C227" s="22" t="str">
        <f>IFERROR(INDEX(Customers!$B$2:$B$31,MATCH(B227,Customers!$A$2:$A$31,0)),"Unknown")</f>
        <v>Kiara Khan</v>
      </c>
      <c r="D227" s="22" t="str">
        <f>IFERROR(INDEX(Customers!$D$2:$D$31,MATCH(B227,Customers!$A$2:$A$31,0)),"Unknown")</f>
        <v>Central</v>
      </c>
      <c r="E227" s="22" t="s">
        <v>99</v>
      </c>
      <c r="F227" s="22" t="str">
        <f>IFERROR(INDEX(Products!$B$2:$B$31,MATCH(E227,Products!$A$2:$A$31,0)),"Unknown")</f>
        <v>Moisturizer</v>
      </c>
      <c r="G227" s="22" t="str">
        <f>IFERROR(INDEX(Products!$C$2:$C$31,MATCH(E227,Products!$A$2:$A$31,0)),"Unknown")</f>
        <v>Beauty</v>
      </c>
      <c r="H227" s="23">
        <v>45616</v>
      </c>
      <c r="I227" s="22">
        <f t="shared" si="24"/>
        <v>11</v>
      </c>
      <c r="J227" s="22" t="str">
        <f t="shared" si="25"/>
        <v>Nov</v>
      </c>
      <c r="K227" s="22" t="str">
        <f t="shared" si="26"/>
        <v>Q4</v>
      </c>
      <c r="L227" s="22">
        <v>6</v>
      </c>
      <c r="M227" s="24">
        <v>2968.87</v>
      </c>
      <c r="N227" s="25">
        <v>0.2</v>
      </c>
      <c r="O227" s="24">
        <f>IFERROR(INDEX(Products!$D$2:$D$31,MATCH(E227,Products!$A$2:$A$31,0)),0)</f>
        <v>2490.61</v>
      </c>
      <c r="P227" s="24">
        <f t="shared" si="27"/>
        <v>14250.58</v>
      </c>
      <c r="Q227" s="24">
        <f t="shared" si="28"/>
        <v>-693.08</v>
      </c>
      <c r="R227" s="26">
        <f t="shared" si="29"/>
        <v>-4.8635213443944038E-2</v>
      </c>
      <c r="S227" s="22" t="str">
        <f t="shared" si="30"/>
        <v>Bulk</v>
      </c>
      <c r="T227" s="27" t="str">
        <f t="shared" si="31"/>
        <v>Low</v>
      </c>
    </row>
    <row r="228" spans="1:20" ht="14.25" customHeight="1" x14ac:dyDescent="0.3">
      <c r="A228" s="21" t="s">
        <v>337</v>
      </c>
      <c r="B228" s="22" t="s">
        <v>110</v>
      </c>
      <c r="C228" s="22" t="str">
        <f>IFERROR(INDEX(Customers!$B$2:$B$31,MATCH(B228,Customers!$A$2:$A$31,0)),"Unknown")</f>
        <v>Kiara Iyer</v>
      </c>
      <c r="D228" s="22" t="str">
        <f>IFERROR(INDEX(Customers!$D$2:$D$31,MATCH(B228,Customers!$A$2:$A$31,0)),"Unknown")</f>
        <v>Central</v>
      </c>
      <c r="E228" s="22" t="s">
        <v>131</v>
      </c>
      <c r="F228" s="22" t="str">
        <f>IFERROR(INDEX(Products!$B$2:$B$31,MATCH(E228,Products!$A$2:$A$31,0)),"Unknown")</f>
        <v>Sunscreen</v>
      </c>
      <c r="G228" s="22" t="str">
        <f>IFERROR(INDEX(Products!$C$2:$C$31,MATCH(E228,Products!$A$2:$A$31,0)),"Unknown")</f>
        <v>Beauty</v>
      </c>
      <c r="H228" s="23">
        <v>45616</v>
      </c>
      <c r="I228" s="22">
        <f t="shared" si="24"/>
        <v>11</v>
      </c>
      <c r="J228" s="22" t="str">
        <f t="shared" si="25"/>
        <v>Nov</v>
      </c>
      <c r="K228" s="22" t="str">
        <f t="shared" si="26"/>
        <v>Q4</v>
      </c>
      <c r="L228" s="22">
        <v>2</v>
      </c>
      <c r="M228" s="24">
        <v>2919.43</v>
      </c>
      <c r="N228" s="25">
        <v>0.15</v>
      </c>
      <c r="O228" s="24">
        <f>IFERROR(INDEX(Products!$D$2:$D$31,MATCH(E228,Products!$A$2:$A$31,0)),0)</f>
        <v>2163.09</v>
      </c>
      <c r="P228" s="24">
        <f t="shared" si="27"/>
        <v>4963.03</v>
      </c>
      <c r="Q228" s="24">
        <f t="shared" si="28"/>
        <v>636.85</v>
      </c>
      <c r="R228" s="26">
        <f t="shared" si="29"/>
        <v>0.12831878912680358</v>
      </c>
      <c r="S228" s="22" t="str">
        <f t="shared" si="30"/>
        <v>Regular</v>
      </c>
      <c r="T228" s="27" t="str">
        <f t="shared" si="31"/>
        <v>Low</v>
      </c>
    </row>
    <row r="229" spans="1:20" ht="14.25" customHeight="1" x14ac:dyDescent="0.3">
      <c r="A229" s="21" t="s">
        <v>338</v>
      </c>
      <c r="B229" s="22" t="s">
        <v>68</v>
      </c>
      <c r="C229" s="22" t="str">
        <f>IFERROR(INDEX(Customers!$B$2:$B$31,MATCH(B229,Customers!$A$2:$A$31,0)),"Unknown")</f>
        <v>Neha Khan</v>
      </c>
      <c r="D229" s="22" t="str">
        <f>IFERROR(INDEX(Customers!$D$2:$D$31,MATCH(B229,Customers!$A$2:$A$31,0)),"Unknown")</f>
        <v>East</v>
      </c>
      <c r="E229" s="22" t="s">
        <v>105</v>
      </c>
      <c r="F229" s="22" t="str">
        <f>IFERROR(INDEX(Products!$B$2:$B$31,MATCH(E229,Products!$A$2:$A$31,0)),"Unknown")</f>
        <v>LED Table Lamp</v>
      </c>
      <c r="G229" s="22" t="str">
        <f>IFERROR(INDEX(Products!$C$2:$C$31,MATCH(E229,Products!$A$2:$A$31,0)),"Unknown")</f>
        <v>Home &amp; Kitchen</v>
      </c>
      <c r="H229" s="23">
        <v>45617</v>
      </c>
      <c r="I229" s="22">
        <f t="shared" si="24"/>
        <v>11</v>
      </c>
      <c r="J229" s="22" t="str">
        <f t="shared" si="25"/>
        <v>Nov</v>
      </c>
      <c r="K229" s="22" t="str">
        <f t="shared" si="26"/>
        <v>Q4</v>
      </c>
      <c r="L229" s="22">
        <v>8</v>
      </c>
      <c r="M229" s="24">
        <v>475.82</v>
      </c>
      <c r="N229" s="25">
        <v>0.05</v>
      </c>
      <c r="O229" s="24">
        <f>IFERROR(INDEX(Products!$D$2:$D$31,MATCH(E229,Products!$A$2:$A$31,0)),0)</f>
        <v>300</v>
      </c>
      <c r="P229" s="24">
        <f t="shared" si="27"/>
        <v>3616.23</v>
      </c>
      <c r="Q229" s="24">
        <f t="shared" si="28"/>
        <v>1216.23</v>
      </c>
      <c r="R229" s="26">
        <f t="shared" si="29"/>
        <v>0.3363253996565484</v>
      </c>
      <c r="S229" s="22" t="str">
        <f t="shared" si="30"/>
        <v>Bulk</v>
      </c>
      <c r="T229" s="27" t="str">
        <f t="shared" si="31"/>
        <v>High</v>
      </c>
    </row>
    <row r="230" spans="1:20" ht="14.25" customHeight="1" x14ac:dyDescent="0.3">
      <c r="A230" s="21" t="s">
        <v>339</v>
      </c>
      <c r="B230" s="22" t="s">
        <v>116</v>
      </c>
      <c r="C230" s="22" t="str">
        <f>IFERROR(INDEX(Customers!$B$2:$B$31,MATCH(B230,Customers!$A$2:$A$31,0)),"Unknown")</f>
        <v>Kabir Patel</v>
      </c>
      <c r="D230" s="22" t="str">
        <f>IFERROR(INDEX(Customers!$D$2:$D$31,MATCH(B230,Customers!$A$2:$A$31,0)),"Unknown")</f>
        <v>Central</v>
      </c>
      <c r="E230" s="22" t="s">
        <v>72</v>
      </c>
      <c r="F230" s="22" t="str">
        <f>IFERROR(INDEX(Products!$B$2:$B$31,MATCH(E230,Products!$A$2:$A$31,0)),"Unknown")</f>
        <v>Cricket Bat</v>
      </c>
      <c r="G230" s="22" t="str">
        <f>IFERROR(INDEX(Products!$C$2:$C$31,MATCH(E230,Products!$A$2:$A$31,0)),"Unknown")</f>
        <v>Sports</v>
      </c>
      <c r="H230" s="23">
        <v>45618</v>
      </c>
      <c r="I230" s="22">
        <f t="shared" si="24"/>
        <v>11</v>
      </c>
      <c r="J230" s="22" t="str">
        <f t="shared" si="25"/>
        <v>Nov</v>
      </c>
      <c r="K230" s="22" t="str">
        <f t="shared" si="26"/>
        <v>Q4</v>
      </c>
      <c r="L230" s="22">
        <v>5</v>
      </c>
      <c r="M230" s="24">
        <v>2726.4</v>
      </c>
      <c r="N230" s="25">
        <v>0.1</v>
      </c>
      <c r="O230" s="24">
        <f>IFERROR(INDEX(Products!$D$2:$D$31,MATCH(E230,Products!$A$2:$A$31,0)),0)</f>
        <v>1824.15</v>
      </c>
      <c r="P230" s="24">
        <f t="shared" si="27"/>
        <v>12268.8</v>
      </c>
      <c r="Q230" s="24">
        <f t="shared" si="28"/>
        <v>3148.05</v>
      </c>
      <c r="R230" s="26">
        <f t="shared" si="29"/>
        <v>0.25658988654147108</v>
      </c>
      <c r="S230" s="22" t="str">
        <f t="shared" si="30"/>
        <v>Bulk</v>
      </c>
      <c r="T230" s="27" t="str">
        <f t="shared" si="31"/>
        <v>Medium</v>
      </c>
    </row>
    <row r="231" spans="1:20" ht="14.25" customHeight="1" x14ac:dyDescent="0.3">
      <c r="A231" s="21" t="s">
        <v>340</v>
      </c>
      <c r="B231" s="22" t="s">
        <v>205</v>
      </c>
      <c r="C231" s="22" t="str">
        <f>IFERROR(INDEX(Customers!$B$2:$B$31,MATCH(B231,Customers!$A$2:$A$31,0)),"Unknown")</f>
        <v>Ayaan Kapoor</v>
      </c>
      <c r="D231" s="22" t="str">
        <f>IFERROR(INDEX(Customers!$D$2:$D$31,MATCH(B231,Customers!$A$2:$A$31,0)),"Unknown")</f>
        <v>South</v>
      </c>
      <c r="E231" s="22" t="s">
        <v>117</v>
      </c>
      <c r="F231" s="22" t="str">
        <f>IFERROR(INDEX(Products!$B$2:$B$31,MATCH(E231,Products!$A$2:$A$31,0)),"Unknown")</f>
        <v>Face Wash</v>
      </c>
      <c r="G231" s="22" t="str">
        <f>IFERROR(INDEX(Products!$C$2:$C$31,MATCH(E231,Products!$A$2:$A$31,0)),"Unknown")</f>
        <v>Beauty</v>
      </c>
      <c r="H231" s="23">
        <v>45622</v>
      </c>
      <c r="I231" s="22">
        <f t="shared" si="24"/>
        <v>11</v>
      </c>
      <c r="J231" s="22" t="str">
        <f t="shared" si="25"/>
        <v>Nov</v>
      </c>
      <c r="K231" s="22" t="str">
        <f t="shared" si="26"/>
        <v>Q4</v>
      </c>
      <c r="L231" s="22">
        <v>2</v>
      </c>
      <c r="M231" s="24">
        <v>1181.42</v>
      </c>
      <c r="N231" s="25">
        <v>0.15</v>
      </c>
      <c r="O231" s="24">
        <f>IFERROR(INDEX(Products!$D$2:$D$31,MATCH(E231,Products!$A$2:$A$31,0)),0)</f>
        <v>1003.52</v>
      </c>
      <c r="P231" s="24">
        <f t="shared" si="27"/>
        <v>2008.41</v>
      </c>
      <c r="Q231" s="24">
        <f t="shared" si="28"/>
        <v>1.37</v>
      </c>
      <c r="R231" s="26">
        <f t="shared" si="29"/>
        <v>6.8213163646864937E-4</v>
      </c>
      <c r="S231" s="22" t="str">
        <f t="shared" si="30"/>
        <v>Regular</v>
      </c>
      <c r="T231" s="27" t="str">
        <f t="shared" si="31"/>
        <v>Low</v>
      </c>
    </row>
    <row r="232" spans="1:20" ht="14.25" customHeight="1" x14ac:dyDescent="0.3">
      <c r="A232" s="21" t="s">
        <v>341</v>
      </c>
      <c r="B232" s="22" t="s">
        <v>88</v>
      </c>
      <c r="C232" s="22" t="str">
        <f>IFERROR(INDEX(Customers!$B$2:$B$31,MATCH(B232,Customers!$A$2:$A$31,0)),"Unknown")</f>
        <v>Zara Khan</v>
      </c>
      <c r="D232" s="22" t="str">
        <f>IFERROR(INDEX(Customers!$D$2:$D$31,MATCH(B232,Customers!$A$2:$A$31,0)),"Unknown")</f>
        <v>North</v>
      </c>
      <c r="E232" s="22" t="s">
        <v>80</v>
      </c>
      <c r="F232" s="22" t="str">
        <f>IFERROR(INDEX(Products!$B$2:$B$31,MATCH(E232,Products!$A$2:$A$31,0)),"Unknown")</f>
        <v>Dumbbell Set</v>
      </c>
      <c r="G232" s="22" t="str">
        <f>IFERROR(INDEX(Products!$C$2:$C$31,MATCH(E232,Products!$A$2:$A$31,0)),"Unknown")</f>
        <v>Sports</v>
      </c>
      <c r="H232" s="23">
        <v>45622</v>
      </c>
      <c r="I232" s="22">
        <f t="shared" si="24"/>
        <v>11</v>
      </c>
      <c r="J232" s="22" t="str">
        <f t="shared" si="25"/>
        <v>Nov</v>
      </c>
      <c r="K232" s="22" t="str">
        <f t="shared" si="26"/>
        <v>Q4</v>
      </c>
      <c r="L232" s="22">
        <v>6</v>
      </c>
      <c r="M232" s="24">
        <v>1623.98</v>
      </c>
      <c r="N232" s="25">
        <v>0</v>
      </c>
      <c r="O232" s="24">
        <f>IFERROR(INDEX(Products!$D$2:$D$31,MATCH(E232,Products!$A$2:$A$31,0)),0)</f>
        <v>1379.47</v>
      </c>
      <c r="P232" s="24">
        <f t="shared" si="27"/>
        <v>9743.8799999999992</v>
      </c>
      <c r="Q232" s="24">
        <f t="shared" si="28"/>
        <v>1467.06</v>
      </c>
      <c r="R232" s="26">
        <f t="shared" si="29"/>
        <v>0.15056219904186013</v>
      </c>
      <c r="S232" s="22" t="str">
        <f t="shared" si="30"/>
        <v>Bulk</v>
      </c>
      <c r="T232" s="27" t="str">
        <f t="shared" si="31"/>
        <v>Medium</v>
      </c>
    </row>
    <row r="233" spans="1:20" ht="14.25" customHeight="1" x14ac:dyDescent="0.3">
      <c r="A233" s="21" t="s">
        <v>342</v>
      </c>
      <c r="B233" s="22" t="s">
        <v>104</v>
      </c>
      <c r="C233" s="22" t="str">
        <f>IFERROR(INDEX(Customers!$B$2:$B$31,MATCH(B233,Customers!$A$2:$A$31,0)),"Unknown")</f>
        <v>Ishaan Chatterjee</v>
      </c>
      <c r="D233" s="22" t="str">
        <f>IFERROR(INDEX(Customers!$D$2:$D$31,MATCH(B233,Customers!$A$2:$A$31,0)),"Unknown")</f>
        <v>West</v>
      </c>
      <c r="E233" s="22" t="s">
        <v>63</v>
      </c>
      <c r="F233" s="22" t="str">
        <f>IFERROR(INDEX(Products!$B$2:$B$31,MATCH(E233,Products!$A$2:$A$31,0)),"Unknown")</f>
        <v>Power Bank</v>
      </c>
      <c r="G233" s="22" t="str">
        <f>IFERROR(INDEX(Products!$C$2:$C$31,MATCH(E233,Products!$A$2:$A$31,0)),"Unknown")</f>
        <v>Electronics</v>
      </c>
      <c r="H233" s="23">
        <v>45623</v>
      </c>
      <c r="I233" s="22">
        <f t="shared" si="24"/>
        <v>11</v>
      </c>
      <c r="J233" s="22" t="str">
        <f t="shared" si="25"/>
        <v>Nov</v>
      </c>
      <c r="K233" s="22" t="str">
        <f t="shared" si="26"/>
        <v>Q4</v>
      </c>
      <c r="L233" s="22">
        <v>3</v>
      </c>
      <c r="M233" s="24">
        <v>990.86</v>
      </c>
      <c r="N233" s="25">
        <v>0</v>
      </c>
      <c r="O233" s="24">
        <f>IFERROR(INDEX(Products!$D$2:$D$31,MATCH(E233,Products!$A$2:$A$31,0)),0)</f>
        <v>721.01</v>
      </c>
      <c r="P233" s="24">
        <f t="shared" si="27"/>
        <v>2972.58</v>
      </c>
      <c r="Q233" s="24">
        <f t="shared" si="28"/>
        <v>809.55</v>
      </c>
      <c r="R233" s="26">
        <f t="shared" si="29"/>
        <v>0.27233918010617036</v>
      </c>
      <c r="S233" s="22" t="str">
        <f t="shared" si="30"/>
        <v>Regular</v>
      </c>
      <c r="T233" s="27" t="str">
        <f t="shared" si="31"/>
        <v>Medium</v>
      </c>
    </row>
    <row r="234" spans="1:20" ht="14.25" customHeight="1" x14ac:dyDescent="0.3">
      <c r="A234" s="21" t="s">
        <v>343</v>
      </c>
      <c r="B234" s="22" t="s">
        <v>62</v>
      </c>
      <c r="C234" s="22" t="str">
        <f>IFERROR(INDEX(Customers!$B$2:$B$31,MATCH(B234,Customers!$A$2:$A$31,0)),"Unknown")</f>
        <v>Ira Singh</v>
      </c>
      <c r="D234" s="22" t="str">
        <f>IFERROR(INDEX(Customers!$D$2:$D$31,MATCH(B234,Customers!$A$2:$A$31,0)),"Unknown")</f>
        <v>West</v>
      </c>
      <c r="E234" s="22" t="s">
        <v>60</v>
      </c>
      <c r="F234" s="22" t="str">
        <f>IFERROR(INDEX(Products!$B$2:$B$31,MATCH(E234,Products!$A$2:$A$31,0)),"Unknown")</f>
        <v>Self-Help Book</v>
      </c>
      <c r="G234" s="22" t="str">
        <f>IFERROR(INDEX(Products!$C$2:$C$31,MATCH(E234,Products!$A$2:$A$31,0)),"Unknown")</f>
        <v>Books</v>
      </c>
      <c r="H234" s="23">
        <v>45625</v>
      </c>
      <c r="I234" s="22">
        <f t="shared" si="24"/>
        <v>11</v>
      </c>
      <c r="J234" s="22" t="str">
        <f t="shared" si="25"/>
        <v>Nov</v>
      </c>
      <c r="K234" s="22" t="str">
        <f t="shared" si="26"/>
        <v>Q4</v>
      </c>
      <c r="L234" s="22">
        <v>8</v>
      </c>
      <c r="M234" s="24">
        <v>2497.1</v>
      </c>
      <c r="N234" s="25">
        <v>0</v>
      </c>
      <c r="O234" s="24">
        <f>IFERROR(INDEX(Products!$D$2:$D$31,MATCH(E234,Products!$A$2:$A$31,0)),0)</f>
        <v>1598.42</v>
      </c>
      <c r="P234" s="24">
        <f t="shared" si="27"/>
        <v>19976.8</v>
      </c>
      <c r="Q234" s="24">
        <f t="shared" si="28"/>
        <v>7189.44</v>
      </c>
      <c r="R234" s="26">
        <f t="shared" si="29"/>
        <v>0.35988947178727321</v>
      </c>
      <c r="S234" s="22" t="str">
        <f t="shared" si="30"/>
        <v>Bulk</v>
      </c>
      <c r="T234" s="27" t="str">
        <f t="shared" si="31"/>
        <v>High</v>
      </c>
    </row>
    <row r="235" spans="1:20" ht="14.25" customHeight="1" x14ac:dyDescent="0.3">
      <c r="A235" s="21" t="s">
        <v>344</v>
      </c>
      <c r="B235" s="22" t="s">
        <v>110</v>
      </c>
      <c r="C235" s="22" t="str">
        <f>IFERROR(INDEX(Customers!$B$2:$B$31,MATCH(B235,Customers!$A$2:$A$31,0)),"Unknown")</f>
        <v>Kiara Iyer</v>
      </c>
      <c r="D235" s="22" t="str">
        <f>IFERROR(INDEX(Customers!$D$2:$D$31,MATCH(B235,Customers!$A$2:$A$31,0)),"Unknown")</f>
        <v>Central</v>
      </c>
      <c r="E235" s="22" t="s">
        <v>172</v>
      </c>
      <c r="F235" s="22" t="str">
        <f>IFERROR(INDEX(Products!$B$2:$B$31,MATCH(E235,Products!$A$2:$A$31,0)),"Unknown")</f>
        <v>Football</v>
      </c>
      <c r="G235" s="22" t="str">
        <f>IFERROR(INDEX(Products!$C$2:$C$31,MATCH(E235,Products!$A$2:$A$31,0)),"Unknown")</f>
        <v>Sports</v>
      </c>
      <c r="H235" s="23">
        <v>45627</v>
      </c>
      <c r="I235" s="22">
        <f t="shared" si="24"/>
        <v>12</v>
      </c>
      <c r="J235" s="22" t="str">
        <f t="shared" si="25"/>
        <v>Dec</v>
      </c>
      <c r="K235" s="22" t="str">
        <f t="shared" si="26"/>
        <v>Q4</v>
      </c>
      <c r="L235" s="22">
        <v>4</v>
      </c>
      <c r="M235" s="24">
        <v>2323.96</v>
      </c>
      <c r="N235" s="25">
        <v>0</v>
      </c>
      <c r="O235" s="24">
        <f>IFERROR(INDEX(Products!$D$2:$D$31,MATCH(E235,Products!$A$2:$A$31,0)),0)</f>
        <v>1729.74</v>
      </c>
      <c r="P235" s="24">
        <f t="shared" si="27"/>
        <v>9295.84</v>
      </c>
      <c r="Q235" s="24">
        <f t="shared" si="28"/>
        <v>2376.88</v>
      </c>
      <c r="R235" s="26">
        <f t="shared" si="29"/>
        <v>0.25569286906831445</v>
      </c>
      <c r="S235" s="22" t="str">
        <f t="shared" si="30"/>
        <v>Regular</v>
      </c>
      <c r="T235" s="27" t="str">
        <f t="shared" si="31"/>
        <v>Medium</v>
      </c>
    </row>
    <row r="236" spans="1:20" ht="14.25" customHeight="1" x14ac:dyDescent="0.3">
      <c r="A236" s="21" t="s">
        <v>345</v>
      </c>
      <c r="B236" s="22" t="s">
        <v>84</v>
      </c>
      <c r="C236" s="22" t="str">
        <f>IFERROR(INDEX(Customers!$B$2:$B$31,MATCH(B236,Customers!$A$2:$A$31,0)),"Unknown")</f>
        <v>Aditya Khan</v>
      </c>
      <c r="D236" s="22" t="str">
        <f>IFERROR(INDEX(Customers!$D$2:$D$31,MATCH(B236,Customers!$A$2:$A$31,0)),"Unknown")</f>
        <v>North</v>
      </c>
      <c r="E236" s="22" t="s">
        <v>120</v>
      </c>
      <c r="F236" s="22" t="str">
        <f>IFERROR(INDEX(Products!$B$2:$B$31,MATCH(E236,Products!$A$2:$A$31,0)),"Unknown")</f>
        <v>Kids Story Book</v>
      </c>
      <c r="G236" s="22" t="str">
        <f>IFERROR(INDEX(Products!$C$2:$C$31,MATCH(E236,Products!$A$2:$A$31,0)),"Unknown")</f>
        <v>Books</v>
      </c>
      <c r="H236" s="23">
        <v>45628</v>
      </c>
      <c r="I236" s="22">
        <f t="shared" si="24"/>
        <v>12</v>
      </c>
      <c r="J236" s="22" t="str">
        <f t="shared" si="25"/>
        <v>Dec</v>
      </c>
      <c r="K236" s="22" t="str">
        <f t="shared" si="26"/>
        <v>Q4</v>
      </c>
      <c r="L236" s="22">
        <v>7</v>
      </c>
      <c r="M236" s="24">
        <v>1301.3699999999999</v>
      </c>
      <c r="N236" s="25">
        <v>0.15</v>
      </c>
      <c r="O236" s="24">
        <f>IFERROR(INDEX(Products!$D$2:$D$31,MATCH(E236,Products!$A$2:$A$31,0)),0)</f>
        <v>1101.6300000000001</v>
      </c>
      <c r="P236" s="24">
        <f t="shared" si="27"/>
        <v>7743.15</v>
      </c>
      <c r="Q236" s="24">
        <f t="shared" si="28"/>
        <v>31.74</v>
      </c>
      <c r="R236" s="26">
        <f t="shared" si="29"/>
        <v>4.0991069525968113E-3</v>
      </c>
      <c r="S236" s="22" t="str">
        <f t="shared" si="30"/>
        <v>Bulk</v>
      </c>
      <c r="T236" s="27" t="str">
        <f t="shared" si="31"/>
        <v>Low</v>
      </c>
    </row>
    <row r="237" spans="1:20" ht="14.25" customHeight="1" x14ac:dyDescent="0.3">
      <c r="A237" s="21" t="s">
        <v>346</v>
      </c>
      <c r="B237" s="22" t="s">
        <v>112</v>
      </c>
      <c r="C237" s="22" t="str">
        <f>IFERROR(INDEX(Customers!$B$2:$B$31,MATCH(B237,Customers!$A$2:$A$31,0)),"Unknown")</f>
        <v>Ayaan Patel</v>
      </c>
      <c r="D237" s="22" t="str">
        <f>IFERROR(INDEX(Customers!$D$2:$D$31,MATCH(B237,Customers!$A$2:$A$31,0)),"Unknown")</f>
        <v>North</v>
      </c>
      <c r="E237" s="22" t="s">
        <v>54</v>
      </c>
      <c r="F237" s="22" t="str">
        <f>IFERROR(INDEX(Products!$B$2:$B$31,MATCH(E237,Products!$A$2:$A$31,0)),"Unknown")</f>
        <v>Bluetooth Speaker</v>
      </c>
      <c r="G237" s="22" t="str">
        <f>IFERROR(INDEX(Products!$C$2:$C$31,MATCH(E237,Products!$A$2:$A$31,0)),"Unknown")</f>
        <v>Electronics</v>
      </c>
      <c r="H237" s="23">
        <v>45629</v>
      </c>
      <c r="I237" s="22">
        <f t="shared" si="24"/>
        <v>12</v>
      </c>
      <c r="J237" s="22" t="str">
        <f t="shared" si="25"/>
        <v>Dec</v>
      </c>
      <c r="K237" s="22" t="str">
        <f t="shared" si="26"/>
        <v>Q4</v>
      </c>
      <c r="L237" s="22">
        <v>5</v>
      </c>
      <c r="M237" s="24">
        <v>3109.87</v>
      </c>
      <c r="N237" s="25">
        <v>0</v>
      </c>
      <c r="O237" s="24">
        <f>IFERROR(INDEX(Products!$D$2:$D$31,MATCH(E237,Products!$A$2:$A$31,0)),0)</f>
        <v>2293.21</v>
      </c>
      <c r="P237" s="24">
        <f t="shared" si="27"/>
        <v>15549.35</v>
      </c>
      <c r="Q237" s="24">
        <f t="shared" si="28"/>
        <v>4083.3</v>
      </c>
      <c r="R237" s="26">
        <f t="shared" si="29"/>
        <v>0.26260261682964242</v>
      </c>
      <c r="S237" s="22" t="str">
        <f t="shared" si="30"/>
        <v>Bulk</v>
      </c>
      <c r="T237" s="27" t="str">
        <f t="shared" si="31"/>
        <v>Medium</v>
      </c>
    </row>
    <row r="238" spans="1:20" ht="14.25" customHeight="1" x14ac:dyDescent="0.3">
      <c r="A238" s="21" t="s">
        <v>347</v>
      </c>
      <c r="B238" s="22" t="s">
        <v>161</v>
      </c>
      <c r="C238" s="22" t="str">
        <f>IFERROR(INDEX(Customers!$B$2:$B$31,MATCH(B238,Customers!$A$2:$A$31,0)),"Unknown")</f>
        <v>Zara Reddy</v>
      </c>
      <c r="D238" s="22" t="str">
        <f>IFERROR(INDEX(Customers!$D$2:$D$31,MATCH(B238,Customers!$A$2:$A$31,0)),"Unknown")</f>
        <v>Central</v>
      </c>
      <c r="E238" s="22" t="s">
        <v>141</v>
      </c>
      <c r="F238" s="22" t="str">
        <f>IFERROR(INDEX(Products!$B$2:$B$31,MATCH(E238,Products!$A$2:$A$31,0)),"Unknown")</f>
        <v>Cook Book</v>
      </c>
      <c r="G238" s="22" t="str">
        <f>IFERROR(INDEX(Products!$C$2:$C$31,MATCH(E238,Products!$A$2:$A$31,0)),"Unknown")</f>
        <v>Books</v>
      </c>
      <c r="H238" s="23">
        <v>45630</v>
      </c>
      <c r="I238" s="22">
        <f t="shared" si="24"/>
        <v>12</v>
      </c>
      <c r="J238" s="22" t="str">
        <f t="shared" si="25"/>
        <v>Dec</v>
      </c>
      <c r="K238" s="22" t="str">
        <f t="shared" si="26"/>
        <v>Q4</v>
      </c>
      <c r="L238" s="22">
        <v>8</v>
      </c>
      <c r="M238" s="24">
        <v>2435.4499999999998</v>
      </c>
      <c r="N238" s="25">
        <v>0</v>
      </c>
      <c r="O238" s="24">
        <f>IFERROR(INDEX(Products!$D$2:$D$31,MATCH(E238,Products!$A$2:$A$31,0)),0)</f>
        <v>1996.83</v>
      </c>
      <c r="P238" s="24">
        <f t="shared" si="27"/>
        <v>19483.599999999999</v>
      </c>
      <c r="Q238" s="24">
        <f t="shared" si="28"/>
        <v>3508.96</v>
      </c>
      <c r="R238" s="26">
        <f t="shared" si="29"/>
        <v>0.18009813381510606</v>
      </c>
      <c r="S238" s="22" t="str">
        <f t="shared" si="30"/>
        <v>Bulk</v>
      </c>
      <c r="T238" s="27" t="str">
        <f t="shared" si="31"/>
        <v>Medium</v>
      </c>
    </row>
    <row r="239" spans="1:20" ht="14.25" customHeight="1" x14ac:dyDescent="0.3">
      <c r="A239" s="21" t="s">
        <v>348</v>
      </c>
      <c r="B239" s="22" t="s">
        <v>227</v>
      </c>
      <c r="C239" s="22" t="str">
        <f>IFERROR(INDEX(Customers!$B$2:$B$31,MATCH(B239,Customers!$A$2:$A$31,0)),"Unknown")</f>
        <v>Aditya Iyer</v>
      </c>
      <c r="D239" s="22" t="str">
        <f>IFERROR(INDEX(Customers!$D$2:$D$31,MATCH(B239,Customers!$A$2:$A$31,0)),"Unknown")</f>
        <v>East</v>
      </c>
      <c r="E239" s="22" t="s">
        <v>172</v>
      </c>
      <c r="F239" s="22" t="str">
        <f>IFERROR(INDEX(Products!$B$2:$B$31,MATCH(E239,Products!$A$2:$A$31,0)),"Unknown")</f>
        <v>Football</v>
      </c>
      <c r="G239" s="22" t="str">
        <f>IFERROR(INDEX(Products!$C$2:$C$31,MATCH(E239,Products!$A$2:$A$31,0)),"Unknown")</f>
        <v>Sports</v>
      </c>
      <c r="H239" s="23">
        <v>45632</v>
      </c>
      <c r="I239" s="22">
        <f t="shared" si="24"/>
        <v>12</v>
      </c>
      <c r="J239" s="22" t="str">
        <f t="shared" si="25"/>
        <v>Dec</v>
      </c>
      <c r="K239" s="22" t="str">
        <f t="shared" si="26"/>
        <v>Q4</v>
      </c>
      <c r="L239" s="22">
        <v>7</v>
      </c>
      <c r="M239" s="24">
        <v>2664.91</v>
      </c>
      <c r="N239" s="25">
        <v>0.15</v>
      </c>
      <c r="O239" s="24">
        <f>IFERROR(INDEX(Products!$D$2:$D$31,MATCH(E239,Products!$A$2:$A$31,0)),0)</f>
        <v>1729.74</v>
      </c>
      <c r="P239" s="24">
        <f t="shared" si="27"/>
        <v>15856.21</v>
      </c>
      <c r="Q239" s="24">
        <f t="shared" si="28"/>
        <v>3748.03</v>
      </c>
      <c r="R239" s="26">
        <f t="shared" si="29"/>
        <v>0.23637615798478959</v>
      </c>
      <c r="S239" s="22" t="str">
        <f t="shared" si="30"/>
        <v>Bulk</v>
      </c>
      <c r="T239" s="27" t="str">
        <f t="shared" si="31"/>
        <v>Medium</v>
      </c>
    </row>
    <row r="240" spans="1:20" ht="14.25" customHeight="1" x14ac:dyDescent="0.3">
      <c r="A240" s="21" t="s">
        <v>349</v>
      </c>
      <c r="B240" s="22" t="s">
        <v>68</v>
      </c>
      <c r="C240" s="22" t="str">
        <f>IFERROR(INDEX(Customers!$B$2:$B$31,MATCH(B240,Customers!$A$2:$A$31,0)),"Unknown")</f>
        <v>Neha Khan</v>
      </c>
      <c r="D240" s="22" t="str">
        <f>IFERROR(INDEX(Customers!$D$2:$D$31,MATCH(B240,Customers!$A$2:$A$31,0)),"Unknown")</f>
        <v>East</v>
      </c>
      <c r="E240" s="22" t="s">
        <v>74</v>
      </c>
      <c r="F240" s="22" t="str">
        <f>IFERROR(INDEX(Products!$B$2:$B$31,MATCH(E240,Products!$A$2:$A$31,0)),"Unknown")</f>
        <v>Notebook Set</v>
      </c>
      <c r="G240" s="22" t="str">
        <f>IFERROR(INDEX(Products!$C$2:$C$31,MATCH(E240,Products!$A$2:$A$31,0)),"Unknown")</f>
        <v>Books</v>
      </c>
      <c r="H240" s="23">
        <v>45634</v>
      </c>
      <c r="I240" s="22">
        <f t="shared" si="24"/>
        <v>12</v>
      </c>
      <c r="J240" s="22" t="str">
        <f t="shared" si="25"/>
        <v>Dec</v>
      </c>
      <c r="K240" s="22" t="str">
        <f t="shared" si="26"/>
        <v>Q4</v>
      </c>
      <c r="L240" s="22">
        <v>7</v>
      </c>
      <c r="M240" s="24">
        <v>304.18</v>
      </c>
      <c r="N240" s="25">
        <v>0.05</v>
      </c>
      <c r="O240" s="24">
        <f>IFERROR(INDEX(Products!$D$2:$D$31,MATCH(E240,Products!$A$2:$A$31,0)),0)</f>
        <v>233.74</v>
      </c>
      <c r="P240" s="24">
        <f t="shared" si="27"/>
        <v>2022.8</v>
      </c>
      <c r="Q240" s="24">
        <f t="shared" si="28"/>
        <v>386.62</v>
      </c>
      <c r="R240" s="26">
        <f t="shared" si="29"/>
        <v>0.1911311053984576</v>
      </c>
      <c r="S240" s="22" t="str">
        <f t="shared" si="30"/>
        <v>Bulk</v>
      </c>
      <c r="T240" s="27" t="str">
        <f t="shared" si="31"/>
        <v>Medium</v>
      </c>
    </row>
    <row r="241" spans="1:20" ht="14.25" customHeight="1" x14ac:dyDescent="0.3">
      <c r="A241" s="21" t="s">
        <v>350</v>
      </c>
      <c r="B241" s="22" t="s">
        <v>96</v>
      </c>
      <c r="C241" s="22" t="str">
        <f>IFERROR(INDEX(Customers!$B$2:$B$31,MATCH(B241,Customers!$A$2:$A$31,0)),"Unknown")</f>
        <v>Sai Khan</v>
      </c>
      <c r="D241" s="22" t="str">
        <f>IFERROR(INDEX(Customers!$D$2:$D$31,MATCH(B241,Customers!$A$2:$A$31,0)),"Unknown")</f>
        <v>East</v>
      </c>
      <c r="E241" s="22" t="s">
        <v>172</v>
      </c>
      <c r="F241" s="22" t="str">
        <f>IFERROR(INDEX(Products!$B$2:$B$31,MATCH(E241,Products!$A$2:$A$31,0)),"Unknown")</f>
        <v>Football</v>
      </c>
      <c r="G241" s="22" t="str">
        <f>IFERROR(INDEX(Products!$C$2:$C$31,MATCH(E241,Products!$A$2:$A$31,0)),"Unknown")</f>
        <v>Sports</v>
      </c>
      <c r="H241" s="23">
        <v>45637</v>
      </c>
      <c r="I241" s="22">
        <f t="shared" si="24"/>
        <v>12</v>
      </c>
      <c r="J241" s="22" t="str">
        <f t="shared" si="25"/>
        <v>Dec</v>
      </c>
      <c r="K241" s="22" t="str">
        <f t="shared" si="26"/>
        <v>Q4</v>
      </c>
      <c r="L241" s="22">
        <v>7</v>
      </c>
      <c r="M241" s="24">
        <v>2731.89</v>
      </c>
      <c r="N241" s="25">
        <v>0.15</v>
      </c>
      <c r="O241" s="24">
        <f>IFERROR(INDEX(Products!$D$2:$D$31,MATCH(E241,Products!$A$2:$A$31,0)),0)</f>
        <v>1729.74</v>
      </c>
      <c r="P241" s="24">
        <f t="shared" si="27"/>
        <v>16254.75</v>
      </c>
      <c r="Q241" s="24">
        <f t="shared" si="28"/>
        <v>4146.57</v>
      </c>
      <c r="R241" s="26">
        <f t="shared" si="29"/>
        <v>0.25509897106999491</v>
      </c>
      <c r="S241" s="22" t="str">
        <f t="shared" si="30"/>
        <v>Bulk</v>
      </c>
      <c r="T241" s="27" t="str">
        <f t="shared" si="31"/>
        <v>Medium</v>
      </c>
    </row>
    <row r="242" spans="1:20" ht="14.25" customHeight="1" x14ac:dyDescent="0.3">
      <c r="A242" s="21" t="s">
        <v>351</v>
      </c>
      <c r="B242" s="22" t="s">
        <v>112</v>
      </c>
      <c r="C242" s="22" t="str">
        <f>IFERROR(INDEX(Customers!$B$2:$B$31,MATCH(B242,Customers!$A$2:$A$31,0)),"Unknown")</f>
        <v>Ayaan Patel</v>
      </c>
      <c r="D242" s="22" t="str">
        <f>IFERROR(INDEX(Customers!$D$2:$D$31,MATCH(B242,Customers!$A$2:$A$31,0)),"Unknown")</f>
        <v>North</v>
      </c>
      <c r="E242" s="22" t="s">
        <v>54</v>
      </c>
      <c r="F242" s="22" t="str">
        <f>IFERROR(INDEX(Products!$B$2:$B$31,MATCH(E242,Products!$A$2:$A$31,0)),"Unknown")</f>
        <v>Bluetooth Speaker</v>
      </c>
      <c r="G242" s="22" t="str">
        <f>IFERROR(INDEX(Products!$C$2:$C$31,MATCH(E242,Products!$A$2:$A$31,0)),"Unknown")</f>
        <v>Electronics</v>
      </c>
      <c r="H242" s="23">
        <v>45637</v>
      </c>
      <c r="I242" s="22">
        <f t="shared" si="24"/>
        <v>12</v>
      </c>
      <c r="J242" s="22" t="str">
        <f t="shared" si="25"/>
        <v>Dec</v>
      </c>
      <c r="K242" s="22" t="str">
        <f t="shared" si="26"/>
        <v>Q4</v>
      </c>
      <c r="L242" s="22">
        <v>2</v>
      </c>
      <c r="M242" s="24">
        <v>2917.99</v>
      </c>
      <c r="N242" s="25">
        <v>0.15</v>
      </c>
      <c r="O242" s="24">
        <f>IFERROR(INDEX(Products!$D$2:$D$31,MATCH(E242,Products!$A$2:$A$31,0)),0)</f>
        <v>2293.21</v>
      </c>
      <c r="P242" s="24">
        <f t="shared" si="27"/>
        <v>4960.58</v>
      </c>
      <c r="Q242" s="24">
        <f t="shared" si="28"/>
        <v>374.16</v>
      </c>
      <c r="R242" s="26">
        <f t="shared" si="29"/>
        <v>7.5426663817537473E-2</v>
      </c>
      <c r="S242" s="22" t="str">
        <f t="shared" si="30"/>
        <v>Regular</v>
      </c>
      <c r="T242" s="27" t="str">
        <f t="shared" si="31"/>
        <v>Low</v>
      </c>
    </row>
    <row r="243" spans="1:20" ht="14.25" customHeight="1" x14ac:dyDescent="0.3">
      <c r="A243" s="21" t="s">
        <v>352</v>
      </c>
      <c r="B243" s="22" t="s">
        <v>112</v>
      </c>
      <c r="C243" s="22" t="str">
        <f>IFERROR(INDEX(Customers!$B$2:$B$31,MATCH(B243,Customers!$A$2:$A$31,0)),"Unknown")</f>
        <v>Ayaan Patel</v>
      </c>
      <c r="D243" s="22" t="str">
        <f>IFERROR(INDEX(Customers!$D$2:$D$31,MATCH(B243,Customers!$A$2:$A$31,0)),"Unknown")</f>
        <v>North</v>
      </c>
      <c r="E243" s="22" t="s">
        <v>82</v>
      </c>
      <c r="F243" s="22" t="str">
        <f>IFERROR(INDEX(Products!$B$2:$B$31,MATCH(E243,Products!$A$2:$A$31,0)),"Unknown")</f>
        <v>Hoodie</v>
      </c>
      <c r="G243" s="22" t="str">
        <f>IFERROR(INDEX(Products!$C$2:$C$31,MATCH(E243,Products!$A$2:$A$31,0)),"Unknown")</f>
        <v>Apparel</v>
      </c>
      <c r="H243" s="23">
        <v>45639</v>
      </c>
      <c r="I243" s="22">
        <f t="shared" si="24"/>
        <v>12</v>
      </c>
      <c r="J243" s="22" t="str">
        <f t="shared" si="25"/>
        <v>Dec</v>
      </c>
      <c r="K243" s="22" t="str">
        <f t="shared" si="26"/>
        <v>Q4</v>
      </c>
      <c r="L243" s="22">
        <v>3</v>
      </c>
      <c r="M243" s="24">
        <v>3227.51</v>
      </c>
      <c r="N243" s="25">
        <v>0.15</v>
      </c>
      <c r="O243" s="24">
        <f>IFERROR(INDEX(Products!$D$2:$D$31,MATCH(E243,Products!$A$2:$A$31,0)),0)</f>
        <v>2252.73</v>
      </c>
      <c r="P243" s="24">
        <f t="shared" si="27"/>
        <v>8230.15</v>
      </c>
      <c r="Q243" s="24">
        <f t="shared" si="28"/>
        <v>1471.96</v>
      </c>
      <c r="R243" s="26">
        <f t="shared" si="29"/>
        <v>0.17884971719834999</v>
      </c>
      <c r="S243" s="22" t="str">
        <f t="shared" si="30"/>
        <v>Regular</v>
      </c>
      <c r="T243" s="27" t="str">
        <f t="shared" si="31"/>
        <v>Medium</v>
      </c>
    </row>
    <row r="244" spans="1:20" ht="14.25" customHeight="1" x14ac:dyDescent="0.3">
      <c r="A244" s="21" t="s">
        <v>353</v>
      </c>
      <c r="B244" s="22" t="s">
        <v>76</v>
      </c>
      <c r="C244" s="22" t="str">
        <f>IFERROR(INDEX(Customers!$B$2:$B$31,MATCH(B244,Customers!$A$2:$A$31,0)),"Unknown")</f>
        <v>Aisha Sharma</v>
      </c>
      <c r="D244" s="22" t="str">
        <f>IFERROR(INDEX(Customers!$D$2:$D$31,MATCH(B244,Customers!$A$2:$A$31,0)),"Unknown")</f>
        <v>Central</v>
      </c>
      <c r="E244" s="22" t="s">
        <v>120</v>
      </c>
      <c r="F244" s="22" t="str">
        <f>IFERROR(INDEX(Products!$B$2:$B$31,MATCH(E244,Products!$A$2:$A$31,0)),"Unknown")</f>
        <v>Kids Story Book</v>
      </c>
      <c r="G244" s="22" t="str">
        <f>IFERROR(INDEX(Products!$C$2:$C$31,MATCH(E244,Products!$A$2:$A$31,0)),"Unknown")</f>
        <v>Books</v>
      </c>
      <c r="H244" s="23">
        <v>45641</v>
      </c>
      <c r="I244" s="22">
        <f t="shared" si="24"/>
        <v>12</v>
      </c>
      <c r="J244" s="22" t="str">
        <f t="shared" si="25"/>
        <v>Dec</v>
      </c>
      <c r="K244" s="22" t="str">
        <f t="shared" si="26"/>
        <v>Q4</v>
      </c>
      <c r="L244" s="22">
        <v>3</v>
      </c>
      <c r="M244" s="24">
        <v>1351.14</v>
      </c>
      <c r="N244" s="25">
        <v>0</v>
      </c>
      <c r="O244" s="24">
        <f>IFERROR(INDEX(Products!$D$2:$D$31,MATCH(E244,Products!$A$2:$A$31,0)),0)</f>
        <v>1101.6300000000001</v>
      </c>
      <c r="P244" s="24">
        <f t="shared" si="27"/>
        <v>4053.42</v>
      </c>
      <c r="Q244" s="24">
        <f t="shared" si="28"/>
        <v>748.53</v>
      </c>
      <c r="R244" s="26">
        <f t="shared" si="29"/>
        <v>0.18466628180647451</v>
      </c>
      <c r="S244" s="22" t="str">
        <f t="shared" si="30"/>
        <v>Regular</v>
      </c>
      <c r="T244" s="27" t="str">
        <f t="shared" si="31"/>
        <v>Medium</v>
      </c>
    </row>
    <row r="245" spans="1:20" ht="14.25" customHeight="1" x14ac:dyDescent="0.3">
      <c r="A245" s="21" t="s">
        <v>354</v>
      </c>
      <c r="B245" s="22" t="s">
        <v>79</v>
      </c>
      <c r="C245" s="22" t="str">
        <f>IFERROR(INDEX(Customers!$B$2:$B$31,MATCH(B245,Customers!$A$2:$A$31,0)),"Unknown")</f>
        <v>Imran Iyer</v>
      </c>
      <c r="D245" s="22" t="str">
        <f>IFERROR(INDEX(Customers!$D$2:$D$31,MATCH(B245,Customers!$A$2:$A$31,0)),"Unknown")</f>
        <v>North</v>
      </c>
      <c r="E245" s="22" t="s">
        <v>172</v>
      </c>
      <c r="F245" s="22" t="str">
        <f>IFERROR(INDEX(Products!$B$2:$B$31,MATCH(E245,Products!$A$2:$A$31,0)),"Unknown")</f>
        <v>Football</v>
      </c>
      <c r="G245" s="22" t="str">
        <f>IFERROR(INDEX(Products!$C$2:$C$31,MATCH(E245,Products!$A$2:$A$31,0)),"Unknown")</f>
        <v>Sports</v>
      </c>
      <c r="H245" s="23">
        <v>45642</v>
      </c>
      <c r="I245" s="22">
        <f t="shared" si="24"/>
        <v>12</v>
      </c>
      <c r="J245" s="22" t="str">
        <f t="shared" si="25"/>
        <v>Dec</v>
      </c>
      <c r="K245" s="22" t="str">
        <f t="shared" si="26"/>
        <v>Q4</v>
      </c>
      <c r="L245" s="22">
        <v>2</v>
      </c>
      <c r="M245" s="24">
        <v>2608.9699999999998</v>
      </c>
      <c r="N245" s="25">
        <v>0.1</v>
      </c>
      <c r="O245" s="24">
        <f>IFERROR(INDEX(Products!$D$2:$D$31,MATCH(E245,Products!$A$2:$A$31,0)),0)</f>
        <v>1729.74</v>
      </c>
      <c r="P245" s="24">
        <f t="shared" si="27"/>
        <v>4696.1499999999996</v>
      </c>
      <c r="Q245" s="24">
        <f t="shared" si="28"/>
        <v>1236.67</v>
      </c>
      <c r="R245" s="26">
        <f t="shared" si="29"/>
        <v>0.26333698880998269</v>
      </c>
      <c r="S245" s="22" t="str">
        <f t="shared" si="30"/>
        <v>Regular</v>
      </c>
      <c r="T245" s="27" t="str">
        <f t="shared" si="31"/>
        <v>Medium</v>
      </c>
    </row>
    <row r="246" spans="1:20" ht="14.25" customHeight="1" x14ac:dyDescent="0.3">
      <c r="A246" s="21" t="s">
        <v>355</v>
      </c>
      <c r="B246" s="22" t="s">
        <v>96</v>
      </c>
      <c r="C246" s="22" t="str">
        <f>IFERROR(INDEX(Customers!$B$2:$B$31,MATCH(B246,Customers!$A$2:$A$31,0)),"Unknown")</f>
        <v>Sai Khan</v>
      </c>
      <c r="D246" s="22" t="str">
        <f>IFERROR(INDEX(Customers!$D$2:$D$31,MATCH(B246,Customers!$A$2:$A$31,0)),"Unknown")</f>
        <v>East</v>
      </c>
      <c r="E246" s="22" t="s">
        <v>108</v>
      </c>
      <c r="F246" s="22" t="str">
        <f>IFERROR(INDEX(Products!$B$2:$B$31,MATCH(E246,Products!$A$2:$A$31,0)),"Unknown")</f>
        <v>Denim Jeans</v>
      </c>
      <c r="G246" s="22" t="str">
        <f>IFERROR(INDEX(Products!$C$2:$C$31,MATCH(E246,Products!$A$2:$A$31,0)),"Unknown")</f>
        <v>Apparel</v>
      </c>
      <c r="H246" s="23">
        <v>45643</v>
      </c>
      <c r="I246" s="22">
        <f t="shared" si="24"/>
        <v>12</v>
      </c>
      <c r="J246" s="22" t="str">
        <f t="shared" si="25"/>
        <v>Dec</v>
      </c>
      <c r="K246" s="22" t="str">
        <f t="shared" si="26"/>
        <v>Q4</v>
      </c>
      <c r="L246" s="22">
        <v>5</v>
      </c>
      <c r="M246" s="24">
        <v>986.01</v>
      </c>
      <c r="N246" s="25">
        <v>0</v>
      </c>
      <c r="O246" s="24">
        <f>IFERROR(INDEX(Products!$D$2:$D$31,MATCH(E246,Products!$A$2:$A$31,0)),0)</f>
        <v>715.83</v>
      </c>
      <c r="P246" s="24">
        <f t="shared" si="27"/>
        <v>4930.05</v>
      </c>
      <c r="Q246" s="24">
        <f t="shared" si="28"/>
        <v>1350.9</v>
      </c>
      <c r="R246" s="26">
        <f t="shared" si="29"/>
        <v>0.27401344813947121</v>
      </c>
      <c r="S246" s="22" t="str">
        <f t="shared" si="30"/>
        <v>Bulk</v>
      </c>
      <c r="T246" s="27" t="str">
        <f t="shared" si="31"/>
        <v>Medium</v>
      </c>
    </row>
    <row r="247" spans="1:20" ht="14.25" customHeight="1" x14ac:dyDescent="0.3">
      <c r="A247" s="21" t="s">
        <v>356</v>
      </c>
      <c r="B247" s="22" t="s">
        <v>90</v>
      </c>
      <c r="C247" s="22" t="str">
        <f>IFERROR(INDEX(Customers!$B$2:$B$31,MATCH(B247,Customers!$A$2:$A$31,0)),"Unknown")</f>
        <v>Ayaan Chatterjee</v>
      </c>
      <c r="D247" s="22" t="str">
        <f>IFERROR(INDEX(Customers!$D$2:$D$31,MATCH(B247,Customers!$A$2:$A$31,0)),"Unknown")</f>
        <v>West</v>
      </c>
      <c r="E247" s="22" t="s">
        <v>91</v>
      </c>
      <c r="F247" s="22" t="str">
        <f>IFERROR(INDEX(Products!$B$2:$B$31,MATCH(E247,Products!$A$2:$A$31,0)),"Unknown")</f>
        <v>Hair Oil</v>
      </c>
      <c r="G247" s="22" t="str">
        <f>IFERROR(INDEX(Products!$C$2:$C$31,MATCH(E247,Products!$A$2:$A$31,0)),"Unknown")</f>
        <v>Beauty</v>
      </c>
      <c r="H247" s="23">
        <v>45645</v>
      </c>
      <c r="I247" s="22">
        <f t="shared" si="24"/>
        <v>12</v>
      </c>
      <c r="J247" s="22" t="str">
        <f t="shared" si="25"/>
        <v>Dec</v>
      </c>
      <c r="K247" s="22" t="str">
        <f t="shared" si="26"/>
        <v>Q4</v>
      </c>
      <c r="L247" s="22">
        <v>4</v>
      </c>
      <c r="M247" s="24">
        <v>3574.12</v>
      </c>
      <c r="N247" s="25">
        <v>0.05</v>
      </c>
      <c r="O247" s="24">
        <f>IFERROR(INDEX(Products!$D$2:$D$31,MATCH(E247,Products!$A$2:$A$31,0)),0)</f>
        <v>2430.0100000000002</v>
      </c>
      <c r="P247" s="24">
        <f t="shared" si="27"/>
        <v>13581.66</v>
      </c>
      <c r="Q247" s="24">
        <f t="shared" si="28"/>
        <v>3861.62</v>
      </c>
      <c r="R247" s="26">
        <f t="shared" si="29"/>
        <v>0.28432606912557079</v>
      </c>
      <c r="S247" s="22" t="str">
        <f t="shared" si="30"/>
        <v>Regular</v>
      </c>
      <c r="T247" s="27" t="str">
        <f t="shared" si="31"/>
        <v>Medium</v>
      </c>
    </row>
    <row r="248" spans="1:20" ht="14.25" customHeight="1" x14ac:dyDescent="0.3">
      <c r="A248" s="21" t="s">
        <v>357</v>
      </c>
      <c r="B248" s="22" t="s">
        <v>129</v>
      </c>
      <c r="C248" s="22" t="str">
        <f>IFERROR(INDEX(Customers!$B$2:$B$31,MATCH(B248,Customers!$A$2:$A$31,0)),"Unknown")</f>
        <v>Sana Chatterjee</v>
      </c>
      <c r="D248" s="22" t="str">
        <f>IFERROR(INDEX(Customers!$D$2:$D$31,MATCH(B248,Customers!$A$2:$A$31,0)),"Unknown")</f>
        <v>North</v>
      </c>
      <c r="E248" s="22" t="s">
        <v>80</v>
      </c>
      <c r="F248" s="22" t="str">
        <f>IFERROR(INDEX(Products!$B$2:$B$31,MATCH(E248,Products!$A$2:$A$31,0)),"Unknown")</f>
        <v>Dumbbell Set</v>
      </c>
      <c r="G248" s="22" t="str">
        <f>IFERROR(INDEX(Products!$C$2:$C$31,MATCH(E248,Products!$A$2:$A$31,0)),"Unknown")</f>
        <v>Sports</v>
      </c>
      <c r="H248" s="23">
        <v>45645</v>
      </c>
      <c r="I248" s="22">
        <f t="shared" si="24"/>
        <v>12</v>
      </c>
      <c r="J248" s="22" t="str">
        <f t="shared" si="25"/>
        <v>Dec</v>
      </c>
      <c r="K248" s="22" t="str">
        <f t="shared" si="26"/>
        <v>Q4</v>
      </c>
      <c r="L248" s="22">
        <v>3</v>
      </c>
      <c r="M248" s="24">
        <v>1925.07</v>
      </c>
      <c r="N248" s="25">
        <v>0.2</v>
      </c>
      <c r="O248" s="24">
        <f>IFERROR(INDEX(Products!$D$2:$D$31,MATCH(E248,Products!$A$2:$A$31,0)),0)</f>
        <v>1379.47</v>
      </c>
      <c r="P248" s="24">
        <f t="shared" si="27"/>
        <v>4620.17</v>
      </c>
      <c r="Q248" s="24">
        <f t="shared" si="28"/>
        <v>481.76</v>
      </c>
      <c r="R248" s="26">
        <f t="shared" si="29"/>
        <v>0.10427321938370233</v>
      </c>
      <c r="S248" s="22" t="str">
        <f t="shared" si="30"/>
        <v>Regular</v>
      </c>
      <c r="T248" s="27" t="str">
        <f t="shared" si="31"/>
        <v>Low</v>
      </c>
    </row>
    <row r="249" spans="1:20" ht="14.25" customHeight="1" x14ac:dyDescent="0.3">
      <c r="A249" s="21" t="s">
        <v>358</v>
      </c>
      <c r="B249" s="22" t="s">
        <v>129</v>
      </c>
      <c r="C249" s="22" t="str">
        <f>IFERROR(INDEX(Customers!$B$2:$B$31,MATCH(B249,Customers!$A$2:$A$31,0)),"Unknown")</f>
        <v>Sana Chatterjee</v>
      </c>
      <c r="D249" s="22" t="str">
        <f>IFERROR(INDEX(Customers!$D$2:$D$31,MATCH(B249,Customers!$A$2:$A$31,0)),"Unknown")</f>
        <v>North</v>
      </c>
      <c r="E249" s="22" t="s">
        <v>120</v>
      </c>
      <c r="F249" s="22" t="str">
        <f>IFERROR(INDEX(Products!$B$2:$B$31,MATCH(E249,Products!$A$2:$A$31,0)),"Unknown")</f>
        <v>Kids Story Book</v>
      </c>
      <c r="G249" s="22" t="str">
        <f>IFERROR(INDEX(Products!$C$2:$C$31,MATCH(E249,Products!$A$2:$A$31,0)),"Unknown")</f>
        <v>Books</v>
      </c>
      <c r="H249" s="23">
        <v>45645</v>
      </c>
      <c r="I249" s="22">
        <f t="shared" si="24"/>
        <v>12</v>
      </c>
      <c r="J249" s="22" t="str">
        <f t="shared" si="25"/>
        <v>Dec</v>
      </c>
      <c r="K249" s="22" t="str">
        <f t="shared" si="26"/>
        <v>Q4</v>
      </c>
      <c r="L249" s="22">
        <v>4</v>
      </c>
      <c r="M249" s="24">
        <v>1317.39</v>
      </c>
      <c r="N249" s="25">
        <v>0.2</v>
      </c>
      <c r="O249" s="24">
        <f>IFERROR(INDEX(Products!$D$2:$D$31,MATCH(E249,Products!$A$2:$A$31,0)),0)</f>
        <v>1101.6300000000001</v>
      </c>
      <c r="P249" s="24">
        <f t="shared" si="27"/>
        <v>4215.6499999999996</v>
      </c>
      <c r="Q249" s="24">
        <f t="shared" si="28"/>
        <v>-190.87</v>
      </c>
      <c r="R249" s="26">
        <f t="shared" si="29"/>
        <v>-4.5276529123622698E-2</v>
      </c>
      <c r="S249" s="22" t="str">
        <f t="shared" si="30"/>
        <v>Regular</v>
      </c>
      <c r="T249" s="27" t="str">
        <f t="shared" si="31"/>
        <v>Low</v>
      </c>
    </row>
    <row r="250" spans="1:20" ht="14.25" customHeight="1" x14ac:dyDescent="0.3">
      <c r="A250" s="21" t="s">
        <v>359</v>
      </c>
      <c r="B250" s="22" t="s">
        <v>96</v>
      </c>
      <c r="C250" s="22" t="str">
        <f>IFERROR(INDEX(Customers!$B$2:$B$31,MATCH(B250,Customers!$A$2:$A$31,0)),"Unknown")</f>
        <v>Sai Khan</v>
      </c>
      <c r="D250" s="22" t="str">
        <f>IFERROR(INDEX(Customers!$D$2:$D$31,MATCH(B250,Customers!$A$2:$A$31,0)),"Unknown")</f>
        <v>East</v>
      </c>
      <c r="E250" s="22" t="s">
        <v>74</v>
      </c>
      <c r="F250" s="22" t="str">
        <f>IFERROR(INDEX(Products!$B$2:$B$31,MATCH(E250,Products!$A$2:$A$31,0)),"Unknown")</f>
        <v>Notebook Set</v>
      </c>
      <c r="G250" s="22" t="str">
        <f>IFERROR(INDEX(Products!$C$2:$C$31,MATCH(E250,Products!$A$2:$A$31,0)),"Unknown")</f>
        <v>Books</v>
      </c>
      <c r="H250" s="23">
        <v>45646</v>
      </c>
      <c r="I250" s="22">
        <f t="shared" si="24"/>
        <v>12</v>
      </c>
      <c r="J250" s="22" t="str">
        <f t="shared" si="25"/>
        <v>Dec</v>
      </c>
      <c r="K250" s="22" t="str">
        <f t="shared" si="26"/>
        <v>Q4</v>
      </c>
      <c r="L250" s="22">
        <v>7</v>
      </c>
      <c r="M250" s="24">
        <v>337.15</v>
      </c>
      <c r="N250" s="25">
        <v>0.2</v>
      </c>
      <c r="O250" s="24">
        <f>IFERROR(INDEX(Products!$D$2:$D$31,MATCH(E250,Products!$A$2:$A$31,0)),0)</f>
        <v>233.74</v>
      </c>
      <c r="P250" s="24">
        <f t="shared" si="27"/>
        <v>1888.04</v>
      </c>
      <c r="Q250" s="24">
        <f t="shared" si="28"/>
        <v>251.86</v>
      </c>
      <c r="R250" s="26">
        <f t="shared" si="29"/>
        <v>0.13339759750852737</v>
      </c>
      <c r="S250" s="22" t="str">
        <f t="shared" si="30"/>
        <v>Bulk</v>
      </c>
      <c r="T250" s="27" t="str">
        <f t="shared" si="31"/>
        <v>Low</v>
      </c>
    </row>
    <row r="251" spans="1:20" ht="14.25" customHeight="1" x14ac:dyDescent="0.3">
      <c r="A251" s="21" t="s">
        <v>360</v>
      </c>
      <c r="B251" s="22" t="s">
        <v>205</v>
      </c>
      <c r="C251" s="22" t="str">
        <f>IFERROR(INDEX(Customers!$B$2:$B$31,MATCH(B251,Customers!$A$2:$A$31,0)),"Unknown")</f>
        <v>Ayaan Kapoor</v>
      </c>
      <c r="D251" s="22" t="str">
        <f>IFERROR(INDEX(Customers!$D$2:$D$31,MATCH(B251,Customers!$A$2:$A$31,0)),"Unknown")</f>
        <v>South</v>
      </c>
      <c r="E251" s="22" t="s">
        <v>91</v>
      </c>
      <c r="F251" s="22" t="str">
        <f>IFERROR(INDEX(Products!$B$2:$B$31,MATCH(E251,Products!$A$2:$A$31,0)),"Unknown")</f>
        <v>Hair Oil</v>
      </c>
      <c r="G251" s="22" t="str">
        <f>IFERROR(INDEX(Products!$C$2:$C$31,MATCH(E251,Products!$A$2:$A$31,0)),"Unknown")</f>
        <v>Beauty</v>
      </c>
      <c r="H251" s="23">
        <v>45648</v>
      </c>
      <c r="I251" s="22">
        <f t="shared" si="24"/>
        <v>12</v>
      </c>
      <c r="J251" s="22" t="str">
        <f t="shared" si="25"/>
        <v>Dec</v>
      </c>
      <c r="K251" s="22" t="str">
        <f t="shared" si="26"/>
        <v>Q4</v>
      </c>
      <c r="L251" s="22">
        <v>7</v>
      </c>
      <c r="M251" s="24">
        <v>3436.77</v>
      </c>
      <c r="N251" s="25">
        <v>0.15</v>
      </c>
      <c r="O251" s="24">
        <f>IFERROR(INDEX(Products!$D$2:$D$31,MATCH(E251,Products!$A$2:$A$31,0)),0)</f>
        <v>2430.0100000000002</v>
      </c>
      <c r="P251" s="24">
        <f t="shared" si="27"/>
        <v>20448.78</v>
      </c>
      <c r="Q251" s="24">
        <f t="shared" si="28"/>
        <v>3438.71</v>
      </c>
      <c r="R251" s="26">
        <f t="shared" si="29"/>
        <v>0.1681621104046305</v>
      </c>
      <c r="S251" s="22" t="str">
        <f t="shared" si="30"/>
        <v>Bulk</v>
      </c>
      <c r="T251" s="27" t="str">
        <f t="shared" si="31"/>
        <v>Medium</v>
      </c>
    </row>
    <row r="252" spans="1:20" ht="14.25" customHeight="1" x14ac:dyDescent="0.3">
      <c r="A252" s="21" t="s">
        <v>361</v>
      </c>
      <c r="B252" s="22" t="s">
        <v>88</v>
      </c>
      <c r="C252" s="22" t="str">
        <f>IFERROR(INDEX(Customers!$B$2:$B$31,MATCH(B252,Customers!$A$2:$A$31,0)),"Unknown")</f>
        <v>Zara Khan</v>
      </c>
      <c r="D252" s="22" t="str">
        <f>IFERROR(INDEX(Customers!$D$2:$D$31,MATCH(B252,Customers!$A$2:$A$31,0)),"Unknown")</f>
        <v>North</v>
      </c>
      <c r="E252" s="22" t="s">
        <v>177</v>
      </c>
      <c r="F252" s="22" t="str">
        <f>IFERROR(INDEX(Products!$B$2:$B$31,MATCH(E252,Products!$A$2:$A$31,0)),"Unknown")</f>
        <v>Sports Shorts</v>
      </c>
      <c r="G252" s="22" t="str">
        <f>IFERROR(INDEX(Products!$C$2:$C$31,MATCH(E252,Products!$A$2:$A$31,0)),"Unknown")</f>
        <v>Apparel</v>
      </c>
      <c r="H252" s="23">
        <v>45649</v>
      </c>
      <c r="I252" s="22">
        <f t="shared" si="24"/>
        <v>12</v>
      </c>
      <c r="J252" s="22" t="str">
        <f t="shared" si="25"/>
        <v>Dec</v>
      </c>
      <c r="K252" s="22" t="str">
        <f t="shared" si="26"/>
        <v>Q4</v>
      </c>
      <c r="L252" s="22">
        <v>3</v>
      </c>
      <c r="M252" s="24">
        <v>1503.94</v>
      </c>
      <c r="N252" s="25">
        <v>0.2</v>
      </c>
      <c r="O252" s="24">
        <f>IFERROR(INDEX(Products!$D$2:$D$31,MATCH(E252,Products!$A$2:$A$31,0)),0)</f>
        <v>1046.55</v>
      </c>
      <c r="P252" s="24">
        <f t="shared" si="27"/>
        <v>3609.46</v>
      </c>
      <c r="Q252" s="24">
        <f t="shared" si="28"/>
        <v>469.81</v>
      </c>
      <c r="R252" s="26">
        <f t="shared" si="29"/>
        <v>0.13016074426645538</v>
      </c>
      <c r="S252" s="22" t="str">
        <f t="shared" si="30"/>
        <v>Regular</v>
      </c>
      <c r="T252" s="27" t="str">
        <f t="shared" si="31"/>
        <v>Low</v>
      </c>
    </row>
    <row r="253" spans="1:20" ht="14.25" customHeight="1" x14ac:dyDescent="0.3">
      <c r="A253" s="21" t="s">
        <v>362</v>
      </c>
      <c r="B253" s="22" t="s">
        <v>107</v>
      </c>
      <c r="C253" s="22" t="str">
        <f>IFERROR(INDEX(Customers!$B$2:$B$31,MATCH(B253,Customers!$A$2:$A$31,0)),"Unknown")</f>
        <v>Mohammed Gupta</v>
      </c>
      <c r="D253" s="22" t="str">
        <f>IFERROR(INDEX(Customers!$D$2:$D$31,MATCH(B253,Customers!$A$2:$A$31,0)),"Unknown")</f>
        <v>North</v>
      </c>
      <c r="E253" s="22" t="s">
        <v>177</v>
      </c>
      <c r="F253" s="22" t="str">
        <f>IFERROR(INDEX(Products!$B$2:$B$31,MATCH(E253,Products!$A$2:$A$31,0)),"Unknown")</f>
        <v>Sports Shorts</v>
      </c>
      <c r="G253" s="22" t="str">
        <f>IFERROR(INDEX(Products!$C$2:$C$31,MATCH(E253,Products!$A$2:$A$31,0)),"Unknown")</f>
        <v>Apparel</v>
      </c>
      <c r="H253" s="23">
        <v>45650</v>
      </c>
      <c r="I253" s="22">
        <f t="shared" si="24"/>
        <v>12</v>
      </c>
      <c r="J253" s="22" t="str">
        <f t="shared" si="25"/>
        <v>Dec</v>
      </c>
      <c r="K253" s="22" t="str">
        <f t="shared" si="26"/>
        <v>Q4</v>
      </c>
      <c r="L253" s="22">
        <v>7</v>
      </c>
      <c r="M253" s="24">
        <v>1647.48</v>
      </c>
      <c r="N253" s="25">
        <v>0.1</v>
      </c>
      <c r="O253" s="24">
        <f>IFERROR(INDEX(Products!$D$2:$D$31,MATCH(E253,Products!$A$2:$A$31,0)),0)</f>
        <v>1046.55</v>
      </c>
      <c r="P253" s="24">
        <f t="shared" si="27"/>
        <v>10379.120000000001</v>
      </c>
      <c r="Q253" s="24">
        <f t="shared" si="28"/>
        <v>3053.27</v>
      </c>
      <c r="R253" s="26">
        <f t="shared" si="29"/>
        <v>0.29417426525562856</v>
      </c>
      <c r="S253" s="22" t="str">
        <f t="shared" si="30"/>
        <v>Bulk</v>
      </c>
      <c r="T253" s="27" t="str">
        <f t="shared" si="31"/>
        <v>Medium</v>
      </c>
    </row>
    <row r="254" spans="1:20" ht="14.25" customHeight="1" x14ac:dyDescent="0.3">
      <c r="A254" s="21" t="s">
        <v>363</v>
      </c>
      <c r="B254" s="22" t="s">
        <v>68</v>
      </c>
      <c r="C254" s="22" t="str">
        <f>IFERROR(INDEX(Customers!$B$2:$B$31,MATCH(B254,Customers!$A$2:$A$31,0)),"Unknown")</f>
        <v>Neha Khan</v>
      </c>
      <c r="D254" s="22" t="str">
        <f>IFERROR(INDEX(Customers!$D$2:$D$31,MATCH(B254,Customers!$A$2:$A$31,0)),"Unknown")</f>
        <v>East</v>
      </c>
      <c r="E254" s="22" t="s">
        <v>177</v>
      </c>
      <c r="F254" s="22" t="str">
        <f>IFERROR(INDEX(Products!$B$2:$B$31,MATCH(E254,Products!$A$2:$A$31,0)),"Unknown")</f>
        <v>Sports Shorts</v>
      </c>
      <c r="G254" s="22" t="str">
        <f>IFERROR(INDEX(Products!$C$2:$C$31,MATCH(E254,Products!$A$2:$A$31,0)),"Unknown")</f>
        <v>Apparel</v>
      </c>
      <c r="H254" s="23">
        <v>45650</v>
      </c>
      <c r="I254" s="22">
        <f t="shared" si="24"/>
        <v>12</v>
      </c>
      <c r="J254" s="22" t="str">
        <f t="shared" si="25"/>
        <v>Dec</v>
      </c>
      <c r="K254" s="22" t="str">
        <f t="shared" si="26"/>
        <v>Q4</v>
      </c>
      <c r="L254" s="22">
        <v>5</v>
      </c>
      <c r="M254" s="24">
        <v>1213.8599999999999</v>
      </c>
      <c r="N254" s="25">
        <v>0.2</v>
      </c>
      <c r="O254" s="24">
        <f>IFERROR(INDEX(Products!$D$2:$D$31,MATCH(E254,Products!$A$2:$A$31,0)),0)</f>
        <v>1046.55</v>
      </c>
      <c r="P254" s="24">
        <f t="shared" si="27"/>
        <v>4855.4399999999996</v>
      </c>
      <c r="Q254" s="24">
        <f t="shared" si="28"/>
        <v>-377.31</v>
      </c>
      <c r="R254" s="26">
        <f t="shared" si="29"/>
        <v>-7.7708714349265989E-2</v>
      </c>
      <c r="S254" s="22" t="str">
        <f t="shared" si="30"/>
        <v>Bulk</v>
      </c>
      <c r="T254" s="27" t="str">
        <f t="shared" si="31"/>
        <v>Low</v>
      </c>
    </row>
    <row r="255" spans="1:20" ht="14.25" customHeight="1" x14ac:dyDescent="0.3">
      <c r="A255" s="21" t="s">
        <v>364</v>
      </c>
      <c r="B255" s="22" t="s">
        <v>153</v>
      </c>
      <c r="C255" s="22" t="str">
        <f>IFERROR(INDEX(Customers!$B$2:$B$31,MATCH(B255,Customers!$A$2:$A$31,0)),"Unknown")</f>
        <v>Rohan Sharma</v>
      </c>
      <c r="D255" s="22" t="str">
        <f>IFERROR(INDEX(Customers!$D$2:$D$31,MATCH(B255,Customers!$A$2:$A$31,0)),"Unknown")</f>
        <v>North</v>
      </c>
      <c r="E255" s="22" t="s">
        <v>146</v>
      </c>
      <c r="F255" s="22" t="str">
        <f>IFERROR(INDEX(Products!$B$2:$B$31,MATCH(E255,Products!$A$2:$A$31,0)),"Unknown")</f>
        <v>Blender</v>
      </c>
      <c r="G255" s="22" t="str">
        <f>IFERROR(INDEX(Products!$C$2:$C$31,MATCH(E255,Products!$A$2:$A$31,0)),"Unknown")</f>
        <v>Home &amp; Kitchen</v>
      </c>
      <c r="H255" s="23">
        <v>45650</v>
      </c>
      <c r="I255" s="22">
        <f t="shared" si="24"/>
        <v>12</v>
      </c>
      <c r="J255" s="22" t="str">
        <f t="shared" si="25"/>
        <v>Dec</v>
      </c>
      <c r="K255" s="22" t="str">
        <f t="shared" si="26"/>
        <v>Q4</v>
      </c>
      <c r="L255" s="22">
        <v>5</v>
      </c>
      <c r="M255" s="24">
        <v>279.81</v>
      </c>
      <c r="N255" s="25">
        <v>0</v>
      </c>
      <c r="O255" s="24">
        <f>IFERROR(INDEX(Products!$D$2:$D$31,MATCH(E255,Products!$A$2:$A$31,0)),0)</f>
        <v>194.02</v>
      </c>
      <c r="P255" s="24">
        <f t="shared" si="27"/>
        <v>1399.05</v>
      </c>
      <c r="Q255" s="24">
        <f t="shared" si="28"/>
        <v>428.95</v>
      </c>
      <c r="R255" s="26">
        <f t="shared" si="29"/>
        <v>0.30660090775883636</v>
      </c>
      <c r="S255" s="22" t="str">
        <f t="shared" si="30"/>
        <v>Bulk</v>
      </c>
      <c r="T255" s="27" t="str">
        <f t="shared" si="31"/>
        <v>High</v>
      </c>
    </row>
    <row r="256" spans="1:20" ht="14.25" customHeight="1" x14ac:dyDescent="0.3">
      <c r="A256" s="21" t="s">
        <v>365</v>
      </c>
      <c r="B256" s="22" t="s">
        <v>79</v>
      </c>
      <c r="C256" s="22" t="str">
        <f>IFERROR(INDEX(Customers!$B$2:$B$31,MATCH(B256,Customers!$A$2:$A$31,0)),"Unknown")</f>
        <v>Imran Iyer</v>
      </c>
      <c r="D256" s="22" t="str">
        <f>IFERROR(INDEX(Customers!$D$2:$D$31,MATCH(B256,Customers!$A$2:$A$31,0)),"Unknown")</f>
        <v>North</v>
      </c>
      <c r="E256" s="22" t="s">
        <v>60</v>
      </c>
      <c r="F256" s="22" t="str">
        <f>IFERROR(INDEX(Products!$B$2:$B$31,MATCH(E256,Products!$A$2:$A$31,0)),"Unknown")</f>
        <v>Self-Help Book</v>
      </c>
      <c r="G256" s="22" t="str">
        <f>IFERROR(INDEX(Products!$C$2:$C$31,MATCH(E256,Products!$A$2:$A$31,0)),"Unknown")</f>
        <v>Books</v>
      </c>
      <c r="H256" s="23">
        <v>45653</v>
      </c>
      <c r="I256" s="22">
        <f t="shared" si="24"/>
        <v>12</v>
      </c>
      <c r="J256" s="22" t="str">
        <f t="shared" si="25"/>
        <v>Dec</v>
      </c>
      <c r="K256" s="22" t="str">
        <f t="shared" si="26"/>
        <v>Q4</v>
      </c>
      <c r="L256" s="22">
        <v>7</v>
      </c>
      <c r="M256" s="24">
        <v>2137.04</v>
      </c>
      <c r="N256" s="25">
        <v>0.05</v>
      </c>
      <c r="O256" s="24">
        <f>IFERROR(INDEX(Products!$D$2:$D$31,MATCH(E256,Products!$A$2:$A$31,0)),0)</f>
        <v>1598.42</v>
      </c>
      <c r="P256" s="24">
        <f t="shared" si="27"/>
        <v>14211.32</v>
      </c>
      <c r="Q256" s="24">
        <f t="shared" si="28"/>
        <v>3022.38</v>
      </c>
      <c r="R256" s="26">
        <f t="shared" si="29"/>
        <v>0.21267412175645894</v>
      </c>
      <c r="S256" s="22" t="str">
        <f t="shared" si="30"/>
        <v>Bulk</v>
      </c>
      <c r="T256" s="27" t="str">
        <f t="shared" si="31"/>
        <v>Medium</v>
      </c>
    </row>
    <row r="257" spans="1:20" ht="15" customHeight="1" x14ac:dyDescent="0.3">
      <c r="A257" s="28" t="s">
        <v>366</v>
      </c>
      <c r="B257" s="29" t="s">
        <v>68</v>
      </c>
      <c r="C257" s="29" t="str">
        <f>IFERROR(INDEX(Customers!$B$2:$B$31,MATCH(B257,Customers!$A$2:$A$31,0)),"Unknown")</f>
        <v>Neha Khan</v>
      </c>
      <c r="D257" s="29" t="str">
        <f>IFERROR(INDEX(Customers!$D$2:$D$31,MATCH(B257,Customers!$A$2:$A$31,0)),"Unknown")</f>
        <v>East</v>
      </c>
      <c r="E257" s="29" t="s">
        <v>141</v>
      </c>
      <c r="F257" s="29" t="str">
        <f>IFERROR(INDEX(Products!$B$2:$B$31,MATCH(E257,Products!$A$2:$A$31,0)),"Unknown")</f>
        <v>Cook Book</v>
      </c>
      <c r="G257" s="29" t="str">
        <f>IFERROR(INDEX(Products!$C$2:$C$31,MATCH(E257,Products!$A$2:$A$31,0)),"Unknown")</f>
        <v>Books</v>
      </c>
      <c r="H257" s="30">
        <v>45656</v>
      </c>
      <c r="I257" s="29">
        <f t="shared" si="24"/>
        <v>12</v>
      </c>
      <c r="J257" s="29" t="str">
        <f t="shared" si="25"/>
        <v>Dec</v>
      </c>
      <c r="K257" s="29" t="str">
        <f t="shared" si="26"/>
        <v>Q4</v>
      </c>
      <c r="L257" s="29">
        <v>6</v>
      </c>
      <c r="M257" s="31">
        <v>2638.63</v>
      </c>
      <c r="N257" s="32">
        <v>0.1</v>
      </c>
      <c r="O257" s="31">
        <f>IFERROR(INDEX(Products!$D$2:$D$31,MATCH(E257,Products!$A$2:$A$31,0)),0)</f>
        <v>1996.83</v>
      </c>
      <c r="P257" s="31">
        <f t="shared" si="27"/>
        <v>14248.6</v>
      </c>
      <c r="Q257" s="31">
        <f t="shared" si="28"/>
        <v>2267.62</v>
      </c>
      <c r="R257" s="33">
        <f t="shared" si="29"/>
        <v>0.15914686355150681</v>
      </c>
      <c r="S257" s="29" t="str">
        <f t="shared" si="30"/>
        <v>Bulk</v>
      </c>
      <c r="T257" s="34" t="str">
        <f t="shared" si="31"/>
        <v>Medium</v>
      </c>
    </row>
    <row r="258" spans="1:20" ht="14.25" customHeight="1" x14ac:dyDescent="0.3">
      <c r="A258" s="21" t="s">
        <v>367</v>
      </c>
      <c r="B258" s="22" t="s">
        <v>96</v>
      </c>
      <c r="C258" s="22" t="str">
        <f>IFERROR(INDEX(Customers!$B$2:$B$31,MATCH(B258,Customers!$A$2:$A$31,0)),"Unknown")</f>
        <v>Sai Khan</v>
      </c>
      <c r="D258" s="22" t="str">
        <f>IFERROR(INDEX(Customers!$D$2:$D$31,MATCH(B258,Customers!$A$2:$A$31,0)),"Unknown")</f>
        <v>East</v>
      </c>
      <c r="E258" s="22" t="s">
        <v>105</v>
      </c>
      <c r="F258" s="22" t="str">
        <f>IFERROR(INDEX(Products!$B$2:$B$31,MATCH(E258,Products!$A$2:$A$31,0)),"Unknown")</f>
        <v>LED Table Lamp</v>
      </c>
      <c r="G258" s="22" t="str">
        <f>IFERROR(INDEX(Products!$C$2:$C$31,MATCH(E258,Products!$A$2:$A$31,0)),"Unknown")</f>
        <v>Home &amp; Kitchen</v>
      </c>
      <c r="H258" s="22"/>
      <c r="I258" s="22" t="str">
        <f t="shared" si="24"/>
        <v/>
      </c>
      <c r="J258" s="22" t="str">
        <f t="shared" si="25"/>
        <v/>
      </c>
      <c r="K258" s="22" t="str">
        <f t="shared" si="26"/>
        <v/>
      </c>
      <c r="L258" s="22">
        <v>5</v>
      </c>
      <c r="M258" s="24">
        <v>395.53</v>
      </c>
      <c r="N258" s="25">
        <v>0</v>
      </c>
      <c r="O258" s="24">
        <f>IFERROR(INDEX(Products!$D$2:$D$31,MATCH(E258,Products!$A$2:$A$31,0)),0)</f>
        <v>300</v>
      </c>
      <c r="P258" s="24">
        <f t="shared" si="27"/>
        <v>1977.65</v>
      </c>
      <c r="Q258" s="24">
        <f t="shared" si="28"/>
        <v>477.65</v>
      </c>
      <c r="R258" s="26">
        <f t="shared" si="29"/>
        <v>0.24152403104694964</v>
      </c>
      <c r="S258" s="22" t="str">
        <f t="shared" si="30"/>
        <v>Bulk</v>
      </c>
      <c r="T258" s="27" t="str">
        <f t="shared" si="31"/>
        <v>Medium</v>
      </c>
    </row>
    <row r="259" spans="1:20" ht="14.25" customHeight="1" x14ac:dyDescent="0.3">
      <c r="A259" s="21" t="s">
        <v>368</v>
      </c>
      <c r="B259" s="22" t="s">
        <v>205</v>
      </c>
      <c r="C259" s="22" t="str">
        <f>IFERROR(INDEX(Customers!$B$2:$B$31,MATCH(B259,Customers!$A$2:$A$31,0)),"Unknown")</f>
        <v>Ayaan Kapoor</v>
      </c>
      <c r="D259" s="22" t="str">
        <f>IFERROR(INDEX(Customers!$D$2:$D$31,MATCH(B259,Customers!$A$2:$A$31,0)),"Unknown")</f>
        <v>South</v>
      </c>
      <c r="E259" s="22" t="s">
        <v>120</v>
      </c>
      <c r="F259" s="22" t="str">
        <f>IFERROR(INDEX(Products!$B$2:$B$31,MATCH(E259,Products!$A$2:$A$31,0)),"Unknown")</f>
        <v>Kids Story Book</v>
      </c>
      <c r="G259" s="22" t="str">
        <f>IFERROR(INDEX(Products!$C$2:$C$31,MATCH(E259,Products!$A$2:$A$31,0)),"Unknown")</f>
        <v>Books</v>
      </c>
      <c r="H259" s="22"/>
      <c r="I259" s="22" t="str">
        <f t="shared" ref="I259:I322" si="32">IF(H259="","",MONTH(H259))</f>
        <v/>
      </c>
      <c r="J259" s="22" t="str">
        <f t="shared" si="25"/>
        <v/>
      </c>
      <c r="K259" s="22" t="str">
        <f t="shared" si="26"/>
        <v/>
      </c>
      <c r="L259" s="22">
        <v>6</v>
      </c>
      <c r="M259" s="24">
        <v>1730.24</v>
      </c>
      <c r="N259" s="25">
        <v>0</v>
      </c>
      <c r="O259" s="24">
        <f>IFERROR(INDEX(Products!$D$2:$D$31,MATCH(E259,Products!$A$2:$A$31,0)),0)</f>
        <v>1101.6300000000001</v>
      </c>
      <c r="P259" s="24">
        <f t="shared" si="27"/>
        <v>10381.44</v>
      </c>
      <c r="Q259" s="24">
        <f t="shared" ref="Q259:Q322" si="33">ROUND(P259-L259*O259,2)</f>
        <v>3771.66</v>
      </c>
      <c r="R259" s="26">
        <f t="shared" ref="R259:R322" si="34">IFERROR(Q259/P259,0)</f>
        <v>0.36330798039578321</v>
      </c>
      <c r="S259" s="22" t="str">
        <f t="shared" si="30"/>
        <v>Bulk</v>
      </c>
      <c r="T259" s="27" t="str">
        <f t="shared" si="31"/>
        <v>High</v>
      </c>
    </row>
    <row r="260" spans="1:20" ht="14.25" customHeight="1" x14ac:dyDescent="0.3">
      <c r="A260" s="21" t="s">
        <v>369</v>
      </c>
      <c r="B260" s="22" t="s">
        <v>62</v>
      </c>
      <c r="C260" s="22" t="str">
        <f>IFERROR(INDEX(Customers!$B$2:$B$31,MATCH(B260,Customers!$A$2:$A$31,0)),"Unknown")</f>
        <v>Ira Singh</v>
      </c>
      <c r="D260" s="22" t="str">
        <f>IFERROR(INDEX(Customers!$D$2:$D$31,MATCH(B260,Customers!$A$2:$A$31,0)),"Unknown")</f>
        <v>West</v>
      </c>
      <c r="E260" s="22" t="s">
        <v>155</v>
      </c>
      <c r="F260" s="22" t="str">
        <f>IFERROR(INDEX(Products!$B$2:$B$31,MATCH(E260,Products!$A$2:$A$31,0)),"Unknown")</f>
        <v>Lipstick</v>
      </c>
      <c r="G260" s="22" t="str">
        <f>IFERROR(INDEX(Products!$C$2:$C$31,MATCH(E260,Products!$A$2:$A$31,0)),"Unknown")</f>
        <v>Beauty</v>
      </c>
      <c r="H260" s="22"/>
      <c r="I260" s="22" t="str">
        <f t="shared" si="32"/>
        <v/>
      </c>
      <c r="J260" s="22" t="str">
        <f t="shared" si="25"/>
        <v/>
      </c>
      <c r="K260" s="22" t="str">
        <f t="shared" si="26"/>
        <v/>
      </c>
      <c r="L260" s="22">
        <v>7</v>
      </c>
      <c r="M260" s="24">
        <v>2169.64</v>
      </c>
      <c r="N260" s="25">
        <v>0.2</v>
      </c>
      <c r="O260" s="24">
        <f>IFERROR(INDEX(Products!$D$2:$D$31,MATCH(E260,Products!$A$2:$A$31,0)),0)</f>
        <v>1360.46</v>
      </c>
      <c r="P260" s="24">
        <f t="shared" si="27"/>
        <v>12149.98</v>
      </c>
      <c r="Q260" s="24">
        <f t="shared" si="33"/>
        <v>2626.76</v>
      </c>
      <c r="R260" s="26">
        <f t="shared" si="34"/>
        <v>0.21619459455900342</v>
      </c>
      <c r="S260" s="22" t="str">
        <f t="shared" si="30"/>
        <v>Bulk</v>
      </c>
      <c r="T260" s="27" t="str">
        <f t="shared" si="31"/>
        <v>Medium</v>
      </c>
    </row>
    <row r="261" spans="1:20" ht="14.25" customHeight="1" x14ac:dyDescent="0.3">
      <c r="A261" s="21" t="s">
        <v>370</v>
      </c>
      <c r="B261" s="22" t="s">
        <v>227</v>
      </c>
      <c r="C261" s="22" t="str">
        <f>IFERROR(INDEX(Customers!$B$2:$B$31,MATCH(B261,Customers!$A$2:$A$31,0)),"Unknown")</f>
        <v>Aditya Iyer</v>
      </c>
      <c r="D261" s="22" t="str">
        <f>IFERROR(INDEX(Customers!$D$2:$D$31,MATCH(B261,Customers!$A$2:$A$31,0)),"Unknown")</f>
        <v>East</v>
      </c>
      <c r="E261" s="22" t="s">
        <v>120</v>
      </c>
      <c r="F261" s="22" t="str">
        <f>IFERROR(INDEX(Products!$B$2:$B$31,MATCH(E261,Products!$A$2:$A$31,0)),"Unknown")</f>
        <v>Kids Story Book</v>
      </c>
      <c r="G261" s="22" t="str">
        <f>IFERROR(INDEX(Products!$C$2:$C$31,MATCH(E261,Products!$A$2:$A$31,0)),"Unknown")</f>
        <v>Books</v>
      </c>
      <c r="H261" s="22"/>
      <c r="I261" s="22" t="str">
        <f t="shared" si="32"/>
        <v/>
      </c>
      <c r="J261" s="22" t="str">
        <f t="shared" si="25"/>
        <v/>
      </c>
      <c r="K261" s="22" t="str">
        <f t="shared" si="26"/>
        <v/>
      </c>
      <c r="L261" s="22">
        <v>3</v>
      </c>
      <c r="M261" s="24">
        <v>1479.93</v>
      </c>
      <c r="N261" s="25">
        <v>0</v>
      </c>
      <c r="O261" s="24">
        <f>IFERROR(INDEX(Products!$D$2:$D$31,MATCH(E261,Products!$A$2:$A$31,0)),0)</f>
        <v>1101.6300000000001</v>
      </c>
      <c r="P261" s="24">
        <f t="shared" si="27"/>
        <v>4439.79</v>
      </c>
      <c r="Q261" s="24">
        <f t="shared" si="33"/>
        <v>1134.9000000000001</v>
      </c>
      <c r="R261" s="26">
        <f t="shared" si="34"/>
        <v>0.25562019825262006</v>
      </c>
      <c r="S261" s="22" t="str">
        <f t="shared" si="30"/>
        <v>Regular</v>
      </c>
      <c r="T261" s="27" t="str">
        <f t="shared" si="31"/>
        <v>Medium</v>
      </c>
    </row>
    <row r="262" spans="1:20" ht="14.25" customHeight="1" x14ac:dyDescent="0.3">
      <c r="A262" s="21" t="s">
        <v>371</v>
      </c>
      <c r="B262" s="22" t="s">
        <v>158</v>
      </c>
      <c r="C262" s="22" t="str">
        <f>IFERROR(INDEX(Customers!$B$2:$B$31,MATCH(B262,Customers!$A$2:$A$31,0)),"Unknown")</f>
        <v>Kiara Khan</v>
      </c>
      <c r="D262" s="22" t="str">
        <f>IFERROR(INDEX(Customers!$D$2:$D$31,MATCH(B262,Customers!$A$2:$A$31,0)),"Unknown")</f>
        <v>Central</v>
      </c>
      <c r="E262" s="22" t="s">
        <v>91</v>
      </c>
      <c r="F262" s="22" t="str">
        <f>IFERROR(INDEX(Products!$B$2:$B$31,MATCH(E262,Products!$A$2:$A$31,0)),"Unknown")</f>
        <v>Hair Oil</v>
      </c>
      <c r="G262" s="22" t="str">
        <f>IFERROR(INDEX(Products!$C$2:$C$31,MATCH(E262,Products!$A$2:$A$31,0)),"Unknown")</f>
        <v>Beauty</v>
      </c>
      <c r="H262" s="22"/>
      <c r="I262" s="22" t="str">
        <f t="shared" si="32"/>
        <v/>
      </c>
      <c r="J262" s="22" t="str">
        <f t="shared" si="25"/>
        <v/>
      </c>
      <c r="K262" s="22" t="str">
        <f t="shared" si="26"/>
        <v/>
      </c>
      <c r="L262" s="22">
        <v>2</v>
      </c>
      <c r="M262" s="24">
        <v>3096.59</v>
      </c>
      <c r="N262" s="25">
        <v>0.2</v>
      </c>
      <c r="O262" s="24">
        <f>IFERROR(INDEX(Products!$D$2:$D$31,MATCH(E262,Products!$A$2:$A$31,0)),0)</f>
        <v>2430.0100000000002</v>
      </c>
      <c r="P262" s="24">
        <f t="shared" si="27"/>
        <v>4954.54</v>
      </c>
      <c r="Q262" s="24">
        <f t="shared" si="33"/>
        <v>94.52</v>
      </c>
      <c r="R262" s="26">
        <f t="shared" si="34"/>
        <v>1.9077452195360216E-2</v>
      </c>
      <c r="S262" s="22" t="str">
        <f t="shared" si="30"/>
        <v>Regular</v>
      </c>
      <c r="T262" s="27" t="str">
        <f t="shared" si="31"/>
        <v>Low</v>
      </c>
    </row>
  </sheetData>
  <mergeCells count="1">
    <mergeCell ref="A1:T1"/>
  </mergeCells>
  <conditionalFormatting sqref="T3:T257">
    <cfRule type="cellIs" dxfId="3" priority="2" operator="equal">
      <formula>"High"</formula>
    </cfRule>
    <cfRule type="cellIs" dxfId="2" priority="3" operator="equal">
      <formula>"Low"</formula>
    </cfRule>
  </conditionalFormatting>
  <printOptions horizontalCentered="1"/>
  <pageMargins left="0.25" right="0.25" top="0.35" bottom="0.35" header="0.15" footer="0.1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2E5395"/>
    <pageSetUpPr autoPageBreaks="0" fitToPage="1"/>
  </sheetPr>
  <dimension ref="A1:E51"/>
  <sheetViews>
    <sheetView showGridLines="0" zoomScale="65" zoomScaleNormal="91" workbookViewId="0">
      <selection activeCell="A41" sqref="A41"/>
    </sheetView>
  </sheetViews>
  <sheetFormatPr defaultColWidth="8.6640625" defaultRowHeight="14.4" x14ac:dyDescent="0.3"/>
  <cols>
    <col min="1" max="1" width="24" customWidth="1"/>
    <col min="2" max="2" width="18" customWidth="1"/>
    <col min="3" max="3" width="16" customWidth="1"/>
    <col min="4" max="4" width="14.33203125" customWidth="1"/>
    <col min="5" max="5" width="23.6640625" customWidth="1"/>
  </cols>
  <sheetData>
    <row r="1" spans="1:5" ht="22.5" customHeight="1" x14ac:dyDescent="0.3">
      <c r="A1" s="117" t="s">
        <v>372</v>
      </c>
      <c r="B1" s="103"/>
      <c r="C1" s="103"/>
      <c r="D1" s="103"/>
      <c r="E1" s="104"/>
    </row>
    <row r="2" spans="1:5" ht="14.25" customHeight="1" x14ac:dyDescent="0.3">
      <c r="A2" s="110" t="s">
        <v>373</v>
      </c>
      <c r="B2" s="111"/>
      <c r="C2" s="111"/>
      <c r="D2" s="111"/>
      <c r="E2" s="106"/>
    </row>
    <row r="3" spans="1:5" ht="15" customHeight="1" x14ac:dyDescent="0.3">
      <c r="A3" s="112" t="s">
        <v>374</v>
      </c>
      <c r="B3" s="111"/>
      <c r="C3" s="111"/>
      <c r="D3" s="111"/>
      <c r="E3" s="106"/>
    </row>
    <row r="4" spans="1:5" ht="14.25" customHeight="1" x14ac:dyDescent="0.3">
      <c r="A4" s="105" t="s">
        <v>375</v>
      </c>
      <c r="B4" s="106"/>
      <c r="C4" s="107" t="s">
        <v>376</v>
      </c>
      <c r="D4" s="106"/>
      <c r="E4" s="45" t="s">
        <v>377</v>
      </c>
    </row>
    <row r="5" spans="1:5" ht="22.5" customHeight="1" x14ac:dyDescent="0.3">
      <c r="A5" s="109">
        <f>SUM(Cleaned_Data!$P$3:$P$262)</f>
        <v>1938477.679999999</v>
      </c>
      <c r="B5" s="106"/>
      <c r="C5" s="113">
        <f>SUM(Cleaned_Data!$Q$3:$Q$262)</f>
        <v>400069.39999999979</v>
      </c>
      <c r="D5" s="106"/>
      <c r="E5" s="46">
        <f>COUNTA(Cleaned_Data!$A$3:$A$262)</f>
        <v>260</v>
      </c>
    </row>
    <row r="6" spans="1:5" ht="14.25" customHeight="1" x14ac:dyDescent="0.3">
      <c r="A6" s="121" t="s">
        <v>378</v>
      </c>
      <c r="B6" s="106"/>
      <c r="C6" s="107" t="s">
        <v>379</v>
      </c>
      <c r="D6" s="106"/>
      <c r="E6" s="45" t="s">
        <v>380</v>
      </c>
    </row>
    <row r="7" spans="1:5" ht="22.5" customHeight="1" x14ac:dyDescent="0.3">
      <c r="A7" s="109">
        <f>IFERROR(SUM(Cleaned_Data!$P$3:$P$262)/COUNTA(Cleaned_Data!$A$3:$A$262),0)</f>
        <v>7455.6833846153804</v>
      </c>
      <c r="B7" s="106"/>
      <c r="C7" s="108">
        <f>IFERROR(SUM(Cleaned_Data!$Q$3:$Q$262)/SUM(Cleaned_Data!$P$3:$P$262),0)</f>
        <v>0.20638328938613315</v>
      </c>
      <c r="D7" s="106"/>
      <c r="E7" s="47">
        <f>IFERROR(SUM(Cleaned_Data!$Q$3:$Q$262)/COUNTA(Cleaned_Data!$A$3:$A$262),0)</f>
        <v>1538.7284615384608</v>
      </c>
    </row>
    <row r="8" spans="1:5" ht="22.5" customHeight="1" x14ac:dyDescent="0.3">
      <c r="A8" s="118"/>
      <c r="B8" s="111"/>
      <c r="C8" s="111"/>
      <c r="D8" s="111"/>
      <c r="E8" s="106"/>
    </row>
    <row r="9" spans="1:5" ht="15" customHeight="1" x14ac:dyDescent="0.3">
      <c r="A9" s="112" t="s">
        <v>381</v>
      </c>
      <c r="B9" s="111"/>
      <c r="C9" s="111"/>
      <c r="D9" s="111"/>
      <c r="E9" s="106"/>
    </row>
    <row r="10" spans="1:5" ht="14.25" customHeight="1" x14ac:dyDescent="0.3">
      <c r="A10" s="6" t="s">
        <v>35</v>
      </c>
      <c r="B10" s="7" t="s">
        <v>375</v>
      </c>
      <c r="C10" s="7" t="s">
        <v>376</v>
      </c>
      <c r="D10" s="7" t="s">
        <v>382</v>
      </c>
      <c r="E10" s="8" t="s">
        <v>378</v>
      </c>
    </row>
    <row r="11" spans="1:5" ht="14.25" customHeight="1" x14ac:dyDescent="0.3">
      <c r="A11" s="9" t="s">
        <v>383</v>
      </c>
      <c r="B11" s="10">
        <f>SUMIFS(Cleaned_Data!$P$3:$P$262,Cleaned_Data!$D$3:$D$262,A11)</f>
        <v>573120.01000000013</v>
      </c>
      <c r="C11" s="10">
        <f>SUMIFS(Cleaned_Data!$Q$3:$Q$262,Cleaned_Data!$D$3:$D$262,A11)</f>
        <v>116076.54000000001</v>
      </c>
      <c r="D11" s="11">
        <f>COUNTIFS(Cleaned_Data!$D$3:$D$262,A11)</f>
        <v>79</v>
      </c>
      <c r="E11" s="12">
        <f>IFERROR(B11/D11,0)</f>
        <v>7254.6836708860774</v>
      </c>
    </row>
    <row r="12" spans="1:5" ht="14.25" customHeight="1" x14ac:dyDescent="0.3">
      <c r="A12" s="9" t="s">
        <v>384</v>
      </c>
      <c r="B12" s="10">
        <f>SUMIFS(Cleaned_Data!$P$3:$P$262,Cleaned_Data!$D$3:$D$262,A12)</f>
        <v>542818.37</v>
      </c>
      <c r="C12" s="10">
        <f>SUMIFS(Cleaned_Data!$Q$3:$Q$262,Cleaned_Data!$D$3:$D$262,A12)</f>
        <v>112813.36000000004</v>
      </c>
      <c r="D12" s="11">
        <f>COUNTIFS(Cleaned_Data!$D$3:$D$262,A12)</f>
        <v>65</v>
      </c>
      <c r="E12" s="12">
        <f>IFERROR(B12/D12,0)</f>
        <v>8351.0518461538468</v>
      </c>
    </row>
    <row r="13" spans="1:5" ht="14.25" customHeight="1" x14ac:dyDescent="0.3">
      <c r="A13" s="9" t="s">
        <v>385</v>
      </c>
      <c r="B13" s="10">
        <f>SUMIFS(Cleaned_Data!$P$3:$P$262,Cleaned_Data!$D$3:$D$262,A13)</f>
        <v>364427.47999999992</v>
      </c>
      <c r="C13" s="10">
        <f>SUMIFS(Cleaned_Data!$Q$3:$Q$262,Cleaned_Data!$D$3:$D$262,A13)</f>
        <v>69530.689999999988</v>
      </c>
      <c r="D13" s="11">
        <f>COUNTIFS(Cleaned_Data!$D$3:$D$262,A13)</f>
        <v>55</v>
      </c>
      <c r="E13" s="12">
        <f>IFERROR(B13/D13,0)</f>
        <v>6625.9541818181806</v>
      </c>
    </row>
    <row r="14" spans="1:5" ht="14.25" customHeight="1" x14ac:dyDescent="0.3">
      <c r="A14" s="9" t="s">
        <v>386</v>
      </c>
      <c r="B14" s="10">
        <f>SUMIFS(Cleaned_Data!$P$3:$P$262,Cleaned_Data!$D$3:$D$262,A14)</f>
        <v>233933.78</v>
      </c>
      <c r="C14" s="10">
        <f>SUMIFS(Cleaned_Data!$Q$3:$Q$262,Cleaned_Data!$D$3:$D$262,A14)</f>
        <v>48855.380000000005</v>
      </c>
      <c r="D14" s="11">
        <f>COUNTIFS(Cleaned_Data!$D$3:$D$262,A14)</f>
        <v>36</v>
      </c>
      <c r="E14" s="12">
        <f>IFERROR(B14/D14,0)</f>
        <v>6498.1605555555552</v>
      </c>
    </row>
    <row r="15" spans="1:5" ht="14.25" customHeight="1" x14ac:dyDescent="0.3">
      <c r="A15" s="9" t="s">
        <v>387</v>
      </c>
      <c r="B15" s="10">
        <f>SUMIFS(Cleaned_Data!$P$3:$P$262,Cleaned_Data!$D$3:$D$262,A15)</f>
        <v>224178.03999999998</v>
      </c>
      <c r="C15" s="10">
        <f>SUMIFS(Cleaned_Data!$Q$3:$Q$262,Cleaned_Data!$D$3:$D$262,A15)</f>
        <v>52793.430000000015</v>
      </c>
      <c r="D15" s="11">
        <f>COUNTIFS(Cleaned_Data!$D$3:$D$262,A15)</f>
        <v>25</v>
      </c>
      <c r="E15" s="12">
        <f>IFERROR(B15/D15,0)</f>
        <v>8967.1215999999986</v>
      </c>
    </row>
    <row r="16" spans="1:5" ht="14.25" customHeight="1" x14ac:dyDescent="0.3">
      <c r="A16" s="9"/>
      <c r="B16" s="13"/>
      <c r="C16" s="13"/>
      <c r="D16" s="11"/>
      <c r="E16" s="14"/>
    </row>
    <row r="17" spans="1:5" ht="15" customHeight="1" x14ac:dyDescent="0.3">
      <c r="A17" s="119" t="s">
        <v>388</v>
      </c>
      <c r="B17" s="111"/>
      <c r="C17" s="111"/>
      <c r="D17" s="111"/>
      <c r="E17" s="120"/>
    </row>
    <row r="18" spans="1:5" ht="14.25" customHeight="1" x14ac:dyDescent="0.3">
      <c r="A18" s="6" t="s">
        <v>38</v>
      </c>
      <c r="B18" s="7" t="s">
        <v>375</v>
      </c>
      <c r="C18" s="7" t="s">
        <v>376</v>
      </c>
      <c r="D18" s="7" t="s">
        <v>382</v>
      </c>
      <c r="E18" s="8" t="s">
        <v>378</v>
      </c>
    </row>
    <row r="19" spans="1:5" ht="14.25" customHeight="1" x14ac:dyDescent="0.3">
      <c r="A19" s="9" t="s">
        <v>389</v>
      </c>
      <c r="B19" s="10">
        <f>SUMIFS(Cleaned_Data!$P$3:$P$262,Cleaned_Data!$G$3:$G$262,A19)</f>
        <v>497060.9599999999</v>
      </c>
      <c r="C19" s="10">
        <f>SUMIFS(Cleaned_Data!$Q$3:$Q$262,Cleaned_Data!$G$3:$G$262,A19)</f>
        <v>108135.09</v>
      </c>
      <c r="D19" s="11">
        <f>COUNTIFS(Cleaned_Data!$G$3:$G$262,A19)</f>
        <v>47</v>
      </c>
      <c r="E19" s="12">
        <f t="shared" ref="E19:E24" si="0">IFERROR(B19/D19,0)</f>
        <v>10575.765106382976</v>
      </c>
    </row>
    <row r="20" spans="1:5" ht="14.25" customHeight="1" x14ac:dyDescent="0.3">
      <c r="A20" s="9" t="s">
        <v>390</v>
      </c>
      <c r="B20" s="10">
        <f>SUMIFS(Cleaned_Data!$P$3:$P$262,Cleaned_Data!$G$3:$G$262,A20)</f>
        <v>398394.88999999996</v>
      </c>
      <c r="C20" s="10">
        <f>SUMIFS(Cleaned_Data!$Q$3:$Q$262,Cleaned_Data!$G$3:$G$262,A20)</f>
        <v>77656.180000000008</v>
      </c>
      <c r="D20" s="11">
        <f>COUNTIFS(Cleaned_Data!$G$3:$G$262,A20)</f>
        <v>48</v>
      </c>
      <c r="E20" s="12">
        <f t="shared" si="0"/>
        <v>8299.8935416666664</v>
      </c>
    </row>
    <row r="21" spans="1:5" ht="14.25" customHeight="1" x14ac:dyDescent="0.3">
      <c r="A21" s="9" t="s">
        <v>391</v>
      </c>
      <c r="B21" s="10">
        <f>SUMIFS(Cleaned_Data!$P$3:$P$262,Cleaned_Data!$G$3:$G$262,A21)</f>
        <v>272764.95</v>
      </c>
      <c r="C21" s="10">
        <f>SUMIFS(Cleaned_Data!$Q$3:$Q$262,Cleaned_Data!$G$3:$G$262,A21)</f>
        <v>59038.990000000005</v>
      </c>
      <c r="D21" s="11">
        <f>COUNTIFS(Cleaned_Data!$G$3:$G$262,A21)</f>
        <v>39</v>
      </c>
      <c r="E21" s="12">
        <f t="shared" si="0"/>
        <v>6993.9730769230773</v>
      </c>
    </row>
    <row r="22" spans="1:5" ht="14.25" customHeight="1" x14ac:dyDescent="0.3">
      <c r="A22" s="9" t="s">
        <v>392</v>
      </c>
      <c r="B22" s="10">
        <f>SUMIFS(Cleaned_Data!$P$3:$P$262,Cleaned_Data!$G$3:$G$262,A22)</f>
        <v>259468.12999999995</v>
      </c>
      <c r="C22" s="10">
        <f>SUMIFS(Cleaned_Data!$Q$3:$Q$262,Cleaned_Data!$G$3:$G$262,A22)</f>
        <v>48903.839999999997</v>
      </c>
      <c r="D22" s="11">
        <f>COUNTIFS(Cleaned_Data!$G$3:$G$262,A22)</f>
        <v>44</v>
      </c>
      <c r="E22" s="12">
        <f t="shared" si="0"/>
        <v>5897.0029545454536</v>
      </c>
    </row>
    <row r="23" spans="1:5" ht="14.25" customHeight="1" x14ac:dyDescent="0.3">
      <c r="A23" s="9" t="s">
        <v>393</v>
      </c>
      <c r="B23" s="10">
        <f>SUMIFS(Cleaned_Data!$P$3:$P$262,Cleaned_Data!$G$3:$G$262,A23)</f>
        <v>259074.67000000007</v>
      </c>
      <c r="C23" s="10">
        <f>SUMIFS(Cleaned_Data!$Q$3:$Q$262,Cleaned_Data!$G$3:$G$262,A23)</f>
        <v>53492.049999999996</v>
      </c>
      <c r="D23" s="11">
        <f>COUNTIFS(Cleaned_Data!$G$3:$G$262,A23)</f>
        <v>41</v>
      </c>
      <c r="E23" s="12">
        <f t="shared" si="0"/>
        <v>6318.8943902439041</v>
      </c>
    </row>
    <row r="24" spans="1:5" ht="14.25" customHeight="1" x14ac:dyDescent="0.3">
      <c r="A24" s="9" t="s">
        <v>394</v>
      </c>
      <c r="B24" s="10">
        <f>SUMIFS(Cleaned_Data!$P$3:$P$262,Cleaned_Data!$G$3:$G$262,A24)</f>
        <v>251714.07999999993</v>
      </c>
      <c r="C24" s="10">
        <f>SUMIFS(Cleaned_Data!$Q$3:$Q$262,Cleaned_Data!$G$3:$G$262,A24)</f>
        <v>52843.249999999993</v>
      </c>
      <c r="D24" s="11">
        <f>COUNTIFS(Cleaned_Data!$G$3:$G$262,A24)</f>
        <v>41</v>
      </c>
      <c r="E24" s="12">
        <f t="shared" si="0"/>
        <v>6139.3678048780466</v>
      </c>
    </row>
    <row r="25" spans="1:5" ht="14.25" customHeight="1" x14ac:dyDescent="0.3">
      <c r="A25" s="9"/>
      <c r="B25" s="13"/>
      <c r="C25" s="13"/>
      <c r="D25" s="11"/>
      <c r="E25" s="14"/>
    </row>
    <row r="26" spans="1:5" ht="15" customHeight="1" x14ac:dyDescent="0.3">
      <c r="A26" s="112" t="s">
        <v>395</v>
      </c>
      <c r="B26" s="111"/>
      <c r="C26" s="111"/>
      <c r="D26" s="111"/>
      <c r="E26" s="106"/>
    </row>
    <row r="27" spans="1:5" ht="14.25" customHeight="1" x14ac:dyDescent="0.3">
      <c r="A27" s="6" t="s">
        <v>40</v>
      </c>
      <c r="B27" s="7" t="s">
        <v>375</v>
      </c>
      <c r="C27" s="7" t="s">
        <v>376</v>
      </c>
      <c r="D27" s="7" t="s">
        <v>382</v>
      </c>
      <c r="E27" s="8" t="s">
        <v>378</v>
      </c>
    </row>
    <row r="28" spans="1:5" ht="14.25" customHeight="1" x14ac:dyDescent="0.3">
      <c r="A28" s="9" t="s">
        <v>396</v>
      </c>
      <c r="B28" s="10">
        <f>SUMIFS(Cleaned_Data!$P$3:$P$262,Cleaned_Data!$I$3:$I$262,1)</f>
        <v>167459.20000000001</v>
      </c>
      <c r="C28" s="10">
        <f>SUMIFS(Cleaned_Data!$Q$3:$Q$262,Cleaned_Data!$I$3:$I$262,1)</f>
        <v>41815.53</v>
      </c>
      <c r="D28" s="11">
        <f>COUNTIFS(Cleaned_Data!$I$3:$I$262,1)</f>
        <v>19</v>
      </c>
      <c r="E28" s="12">
        <f t="shared" ref="E28:E39" si="1">IFERROR(B28/D28,0)</f>
        <v>8813.6421052631576</v>
      </c>
    </row>
    <row r="29" spans="1:5" ht="14.25" customHeight="1" x14ac:dyDescent="0.3">
      <c r="A29" s="9" t="s">
        <v>397</v>
      </c>
      <c r="B29" s="10">
        <f>SUMIFS(Cleaned_Data!$P$3:$P$262,Cleaned_Data!$I$3:$I$262,2)</f>
        <v>147091.13999999998</v>
      </c>
      <c r="C29" s="10">
        <f>SUMIFS(Cleaned_Data!$Q$3:$Q$262,Cleaned_Data!$I$3:$I$262,2)</f>
        <v>23692.25</v>
      </c>
      <c r="D29" s="11">
        <f>COUNTIFS(Cleaned_Data!$I$3:$I$262,2)</f>
        <v>23</v>
      </c>
      <c r="E29" s="12">
        <f t="shared" si="1"/>
        <v>6395.2669565217384</v>
      </c>
    </row>
    <row r="30" spans="1:5" ht="14.25" customHeight="1" x14ac:dyDescent="0.3">
      <c r="A30" s="9" t="s">
        <v>398</v>
      </c>
      <c r="B30" s="10">
        <f>SUMIFS(Cleaned_Data!$P$3:$P$262,Cleaned_Data!$I$3:$I$262,3)</f>
        <v>180483.78999999998</v>
      </c>
      <c r="C30" s="10">
        <f>SUMIFS(Cleaned_Data!$Q$3:$Q$262,Cleaned_Data!$I$3:$I$262,3)</f>
        <v>38632.930000000008</v>
      </c>
      <c r="D30" s="11">
        <f>COUNTIFS(Cleaned_Data!$I$3:$I$262,3)</f>
        <v>20</v>
      </c>
      <c r="E30" s="12">
        <f t="shared" si="1"/>
        <v>9024.1894999999986</v>
      </c>
    </row>
    <row r="31" spans="1:5" ht="14.25" customHeight="1" x14ac:dyDescent="0.3">
      <c r="A31" s="9" t="s">
        <v>399</v>
      </c>
      <c r="B31" s="10">
        <f>SUMIFS(Cleaned_Data!$P$3:$P$262,Cleaned_Data!$I$3:$I$262,4)</f>
        <v>102156.27999999998</v>
      </c>
      <c r="C31" s="10">
        <f>SUMIFS(Cleaned_Data!$Q$3:$Q$262,Cleaned_Data!$I$3:$I$262,4)</f>
        <v>16048.86</v>
      </c>
      <c r="D31" s="11">
        <f>COUNTIFS(Cleaned_Data!$I$3:$I$262,4)</f>
        <v>14</v>
      </c>
      <c r="E31" s="12">
        <f t="shared" si="1"/>
        <v>7296.8771428571417</v>
      </c>
    </row>
    <row r="32" spans="1:5" ht="14.25" customHeight="1" x14ac:dyDescent="0.3">
      <c r="A32" s="9" t="s">
        <v>400</v>
      </c>
      <c r="B32" s="10">
        <f>SUMIFS(Cleaned_Data!$P$3:$P$262,Cleaned_Data!$I$3:$I$262,5)</f>
        <v>184220.42999999996</v>
      </c>
      <c r="C32" s="10">
        <f>SUMIFS(Cleaned_Data!$Q$3:$Q$262,Cleaned_Data!$I$3:$I$262,5)</f>
        <v>37231.630000000005</v>
      </c>
      <c r="D32" s="11">
        <f>COUNTIFS(Cleaned_Data!$I$3:$I$262,5)</f>
        <v>26</v>
      </c>
      <c r="E32" s="12">
        <f t="shared" si="1"/>
        <v>7085.4011538461527</v>
      </c>
    </row>
    <row r="33" spans="1:5" ht="14.25" customHeight="1" x14ac:dyDescent="0.3">
      <c r="A33" s="9" t="s">
        <v>401</v>
      </c>
      <c r="B33" s="10">
        <f>SUMIFS(Cleaned_Data!$P$3:$P$262,Cleaned_Data!$I$3:$I$262,6)</f>
        <v>176979.11000000002</v>
      </c>
      <c r="C33" s="10">
        <f>SUMIFS(Cleaned_Data!$Q$3:$Q$262,Cleaned_Data!$I$3:$I$262,6)</f>
        <v>38105.549999999996</v>
      </c>
      <c r="D33" s="11">
        <f>COUNTIFS(Cleaned_Data!$I$3:$I$262,6)</f>
        <v>22</v>
      </c>
      <c r="E33" s="12">
        <f t="shared" si="1"/>
        <v>8044.505000000001</v>
      </c>
    </row>
    <row r="34" spans="1:5" ht="14.25" customHeight="1" x14ac:dyDescent="0.3">
      <c r="A34" s="9" t="s">
        <v>402</v>
      </c>
      <c r="B34" s="10">
        <f>SUMIFS(Cleaned_Data!$P$3:$P$262,Cleaned_Data!$I$3:$I$262,7)</f>
        <v>128992.47000000002</v>
      </c>
      <c r="C34" s="10">
        <f>SUMIFS(Cleaned_Data!$Q$3:$Q$262,Cleaned_Data!$I$3:$I$262,7)</f>
        <v>30070.219999999998</v>
      </c>
      <c r="D34" s="11">
        <f>COUNTIFS(Cleaned_Data!$I$3:$I$262,7)</f>
        <v>22</v>
      </c>
      <c r="E34" s="12">
        <f t="shared" si="1"/>
        <v>5863.2940909090912</v>
      </c>
    </row>
    <row r="35" spans="1:5" ht="14.25" customHeight="1" x14ac:dyDescent="0.3">
      <c r="A35" s="9" t="s">
        <v>403</v>
      </c>
      <c r="B35" s="10">
        <f>SUMIFS(Cleaned_Data!$P$3:$P$262,Cleaned_Data!$I$3:$I$262,8)</f>
        <v>183602.87999999995</v>
      </c>
      <c r="C35" s="10">
        <f>SUMIFS(Cleaned_Data!$Q$3:$Q$262,Cleaned_Data!$I$3:$I$262,8)</f>
        <v>38698.370000000003</v>
      </c>
      <c r="D35" s="11">
        <f>COUNTIFS(Cleaned_Data!$I$3:$I$262,8)</f>
        <v>30</v>
      </c>
      <c r="E35" s="12">
        <f t="shared" si="1"/>
        <v>6120.0959999999986</v>
      </c>
    </row>
    <row r="36" spans="1:5" ht="14.25" customHeight="1" x14ac:dyDescent="0.3">
      <c r="A36" s="9" t="s">
        <v>404</v>
      </c>
      <c r="B36" s="10">
        <f>SUMIFS(Cleaned_Data!$P$3:$P$262,Cleaned_Data!$I$3:$I$262,9)</f>
        <v>40913.199999999997</v>
      </c>
      <c r="C36" s="10">
        <f>SUMIFS(Cleaned_Data!$Q$3:$Q$262,Cleaned_Data!$I$3:$I$262,9)</f>
        <v>5229.17</v>
      </c>
      <c r="D36" s="11">
        <f>COUNTIFS(Cleaned_Data!$I$3:$I$262,9)</f>
        <v>10</v>
      </c>
      <c r="E36" s="12">
        <f t="shared" si="1"/>
        <v>4091.3199999999997</v>
      </c>
    </row>
    <row r="37" spans="1:5" ht="14.25" customHeight="1" x14ac:dyDescent="0.3">
      <c r="A37" s="9" t="s">
        <v>405</v>
      </c>
      <c r="B37" s="10">
        <f>SUMIFS(Cleaned_Data!$P$3:$P$262,Cleaned_Data!$I$3:$I$262,10)</f>
        <v>226156.72</v>
      </c>
      <c r="C37" s="10">
        <f>SUMIFS(Cleaned_Data!$Q$3:$Q$262,Cleaned_Data!$I$3:$I$262,10)</f>
        <v>55063.27</v>
      </c>
      <c r="D37" s="11">
        <f>COUNTIFS(Cleaned_Data!$I$3:$I$262,10)</f>
        <v>27</v>
      </c>
      <c r="E37" s="12">
        <f t="shared" si="1"/>
        <v>8376.1748148148145</v>
      </c>
    </row>
    <row r="38" spans="1:5" ht="14.25" customHeight="1" x14ac:dyDescent="0.3">
      <c r="A38" s="9" t="s">
        <v>406</v>
      </c>
      <c r="B38" s="10">
        <f>SUMIFS(Cleaned_Data!$P$3:$P$262,Cleaned_Data!$I$3:$I$262,11)</f>
        <v>159985.71999999997</v>
      </c>
      <c r="C38" s="10">
        <f>SUMIFS(Cleaned_Data!$Q$3:$Q$262,Cleaned_Data!$I$3:$I$262,11)</f>
        <v>27204.01</v>
      </c>
      <c r="D38" s="11">
        <f>COUNTIFS(Cleaned_Data!$I$3:$I$262,11)</f>
        <v>19</v>
      </c>
      <c r="E38" s="12">
        <f t="shared" si="1"/>
        <v>8420.3010526315775</v>
      </c>
    </row>
    <row r="39" spans="1:5" ht="14.25" customHeight="1" x14ac:dyDescent="0.3">
      <c r="A39" s="9" t="s">
        <v>407</v>
      </c>
      <c r="B39" s="10">
        <f>SUMIFS(Cleaned_Data!$P$3:$P$262,Cleaned_Data!$I$3:$I$262,12)</f>
        <v>206533.34</v>
      </c>
      <c r="C39" s="10">
        <f>SUMIFS(Cleaned_Data!$Q$3:$Q$262,Cleaned_Data!$I$3:$I$262,12)</f>
        <v>40172.119999999995</v>
      </c>
      <c r="D39" s="11">
        <f>COUNTIFS(Cleaned_Data!$I$3:$I$262,12)</f>
        <v>23</v>
      </c>
      <c r="E39" s="12">
        <f t="shared" si="1"/>
        <v>8979.710434782608</v>
      </c>
    </row>
    <row r="40" spans="1:5" ht="15" customHeight="1" x14ac:dyDescent="0.3">
      <c r="A40" s="112" t="s">
        <v>408</v>
      </c>
      <c r="B40" s="111"/>
      <c r="C40" s="111"/>
      <c r="D40" s="111"/>
      <c r="E40" s="106"/>
    </row>
    <row r="41" spans="1:5" ht="14.25" customHeight="1" x14ac:dyDescent="0.3">
      <c r="A41" s="6" t="s">
        <v>42</v>
      </c>
      <c r="B41" s="7" t="s">
        <v>375</v>
      </c>
      <c r="C41" s="7" t="s">
        <v>376</v>
      </c>
      <c r="D41" s="7" t="s">
        <v>382</v>
      </c>
      <c r="E41" s="8" t="s">
        <v>378</v>
      </c>
    </row>
    <row r="42" spans="1:5" ht="14.25" customHeight="1" x14ac:dyDescent="0.3">
      <c r="A42" s="9" t="s">
        <v>409</v>
      </c>
      <c r="B42" s="10">
        <f>SUMIFS(Cleaned_Data!$P$3:$P$262,Cleaned_Data!$K$3:$K$262,A42)</f>
        <v>495034.13000000006</v>
      </c>
      <c r="C42" s="10">
        <f>SUMIFS(Cleaned_Data!$Q$3:$Q$262,Cleaned_Data!$K$3:$K$262,A42)</f>
        <v>104140.70999999999</v>
      </c>
      <c r="D42" s="11">
        <f>COUNTIFS(Cleaned_Data!$K$3:$K$262,A42)</f>
        <v>62</v>
      </c>
      <c r="E42" s="12">
        <f>IFERROR(B42/D42,0)</f>
        <v>7984.4214516129041</v>
      </c>
    </row>
    <row r="43" spans="1:5" ht="14.25" customHeight="1" x14ac:dyDescent="0.3">
      <c r="A43" s="9" t="s">
        <v>410</v>
      </c>
      <c r="B43" s="10">
        <f>SUMIFS(Cleaned_Data!$P$3:$P$262,Cleaned_Data!$K$3:$K$262,A43)</f>
        <v>463355.81999999989</v>
      </c>
      <c r="C43" s="10">
        <f>SUMIFS(Cleaned_Data!$Q$3:$Q$262,Cleaned_Data!$K$3:$K$262,A43)</f>
        <v>91386.040000000008</v>
      </c>
      <c r="D43" s="11">
        <f>COUNTIFS(Cleaned_Data!$K$3:$K$262,A43)</f>
        <v>62</v>
      </c>
      <c r="E43" s="12">
        <f>IFERROR(B43/D43,0)</f>
        <v>7473.4809677419335</v>
      </c>
    </row>
    <row r="44" spans="1:5" ht="14.25" customHeight="1" x14ac:dyDescent="0.3">
      <c r="A44" s="9" t="s">
        <v>411</v>
      </c>
      <c r="B44" s="10">
        <f>SUMIFS(Cleaned_Data!$P$3:$P$262,Cleaned_Data!$K$3:$K$262,A44)</f>
        <v>353508.5500000001</v>
      </c>
      <c r="C44" s="10">
        <f>SUMIFS(Cleaned_Data!$Q$3:$Q$262,Cleaned_Data!$K$3:$K$262,A44)</f>
        <v>73997.760000000038</v>
      </c>
      <c r="D44" s="11">
        <f>COUNTIFS(Cleaned_Data!$K$3:$K$262,A44)</f>
        <v>62</v>
      </c>
      <c r="E44" s="12">
        <f>IFERROR(B44/D44,0)</f>
        <v>5701.7508064516142</v>
      </c>
    </row>
    <row r="45" spans="1:5" ht="14.25" customHeight="1" x14ac:dyDescent="0.3">
      <c r="A45" s="9" t="s">
        <v>412</v>
      </c>
      <c r="B45" s="10">
        <f>SUMIFS(Cleaned_Data!$P$3:$P$262,Cleaned_Data!$K$3:$K$262,A45)</f>
        <v>592675.77999999991</v>
      </c>
      <c r="C45" s="10">
        <f>SUMIFS(Cleaned_Data!$Q$3:$Q$262,Cleaned_Data!$K$3:$K$262,A45)</f>
        <v>122439.40000000001</v>
      </c>
      <c r="D45" s="11">
        <f>COUNTIFS(Cleaned_Data!$K$3:$K$262,A45)</f>
        <v>69</v>
      </c>
      <c r="E45" s="12">
        <f>IFERROR(B45/D45,0)</f>
        <v>8589.504057971013</v>
      </c>
    </row>
    <row r="46" spans="1:5" ht="14.25" customHeight="1" x14ac:dyDescent="0.3">
      <c r="A46" s="49"/>
      <c r="B46" s="50"/>
      <c r="C46" s="50"/>
      <c r="D46" s="51"/>
      <c r="E46" s="52"/>
    </row>
    <row r="47" spans="1:5" ht="15" customHeight="1" x14ac:dyDescent="0.3">
      <c r="A47" s="114" t="s">
        <v>413</v>
      </c>
      <c r="B47" s="115"/>
      <c r="C47" s="115"/>
      <c r="D47" s="115"/>
      <c r="E47" s="116"/>
    </row>
    <row r="48" spans="1:5" ht="14.25" customHeight="1" x14ac:dyDescent="0.3">
      <c r="A48" s="39" t="s">
        <v>414</v>
      </c>
      <c r="B48" s="40" t="s">
        <v>415</v>
      </c>
      <c r="C48" s="40" t="s">
        <v>47</v>
      </c>
      <c r="D48" s="40" t="s">
        <v>415</v>
      </c>
      <c r="E48" s="74" t="s">
        <v>382</v>
      </c>
    </row>
    <row r="49" spans="1:5" ht="14.25" customHeight="1" x14ac:dyDescent="0.3">
      <c r="A49" s="15" t="s">
        <v>416</v>
      </c>
      <c r="B49" s="16" t="str">
        <f>INDEX(A11:A15,MATCH(MAX(B11:B15),B11:B15,0))</f>
        <v>North</v>
      </c>
      <c r="C49" s="17">
        <f>MAX(B11:B15)</f>
        <v>573120.01000000013</v>
      </c>
      <c r="D49" s="72">
        <f>INDEX(D11:D15,MATCH(MAX(E11:E15),E11:E15,0))</f>
        <v>25</v>
      </c>
      <c r="E49" s="75">
        <f>INDEX(D11:D15, MATCH(B49, A11:A15, 0))</f>
        <v>79</v>
      </c>
    </row>
    <row r="50" spans="1:5" ht="15" customHeight="1" x14ac:dyDescent="0.3">
      <c r="A50" s="15" t="s">
        <v>417</v>
      </c>
      <c r="B50" s="16" t="str">
        <f>INDEX(A19:A24,MATCH(MAX(B19:B24),B19:B24,0))</f>
        <v>Beauty</v>
      </c>
      <c r="C50" s="17">
        <f>MAX(B19:B24)</f>
        <v>497060.9599999999</v>
      </c>
      <c r="D50" s="72">
        <f>INDEX(D19:D24,MATCH(MAX(E19:E24),E19:E24,0))</f>
        <v>47</v>
      </c>
      <c r="E50" s="75">
        <f>INDEX(D19:D24, MATCH(B50, A19:A24, 0))</f>
        <v>47</v>
      </c>
    </row>
    <row r="51" spans="1:5" ht="14.25" customHeight="1" thickBot="1" x14ac:dyDescent="0.35">
      <c r="A51" s="18" t="s">
        <v>418</v>
      </c>
      <c r="B51" s="19" t="str">
        <f>INDEX(A28:A39,MATCH(MAX(B28:B39),B28:B39,0))</f>
        <v>Oct</v>
      </c>
      <c r="C51" s="20">
        <f>MAX(B28:B39)</f>
        <v>226156.72</v>
      </c>
      <c r="D51" s="73">
        <f>INDEX(D28:D39,MATCH(MAX(E28:E39),E28:E39,0))</f>
        <v>20</v>
      </c>
      <c r="E51" s="76">
        <f>INDEX(D28:D39, MATCH(B51, A28:A39, 0))</f>
        <v>27</v>
      </c>
    </row>
  </sheetData>
  <mergeCells count="17">
    <mergeCell ref="A47:E47"/>
    <mergeCell ref="A1:E1"/>
    <mergeCell ref="A8:E8"/>
    <mergeCell ref="A17:E17"/>
    <mergeCell ref="A6:B6"/>
    <mergeCell ref="A9:E9"/>
    <mergeCell ref="C4:D4"/>
    <mergeCell ref="A26:E26"/>
    <mergeCell ref="C5:D5"/>
    <mergeCell ref="A5:B5"/>
    <mergeCell ref="A40:E40"/>
    <mergeCell ref="A3:E3"/>
    <mergeCell ref="A4:B4"/>
    <mergeCell ref="C6:D6"/>
    <mergeCell ref="C7:D7"/>
    <mergeCell ref="A7:B7"/>
    <mergeCell ref="A2:E2"/>
  </mergeCells>
  <printOptions horizontalCentered="1"/>
  <pageMargins left="0.25" right="0.25" top="0.35" bottom="0.35" header="0.15" footer="0.1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autoPageBreaks="0" fitToPage="1"/>
  </sheetPr>
  <dimension ref="A1:I285"/>
  <sheetViews>
    <sheetView showGridLines="0" zoomScale="60" zoomScaleNormal="100" workbookViewId="0">
      <pane ySplit="2" topLeftCell="A3" activePane="bottomLeft" state="frozen"/>
      <selection activeCell="I7" sqref="I7"/>
      <selection pane="bottomLeft" activeCell="I7" sqref="I7"/>
    </sheetView>
  </sheetViews>
  <sheetFormatPr defaultColWidth="8.6640625" defaultRowHeight="14.4" x14ac:dyDescent="0.3"/>
  <cols>
    <col min="1" max="1" width="8.88671875" customWidth="1"/>
    <col min="2" max="2" width="12.5546875" customWidth="1"/>
    <col min="3" max="3" width="10.5546875" customWidth="1"/>
    <col min="4" max="4" width="12.77734375" customWidth="1"/>
    <col min="5" max="5" width="8.33203125" customWidth="1"/>
    <col min="6" max="6" width="9.88671875" customWidth="1"/>
    <col min="7" max="7" width="10.77734375" customWidth="1"/>
    <col min="8" max="8" width="26" customWidth="1"/>
  </cols>
  <sheetData>
    <row r="1" spans="1:9" ht="14.25" customHeight="1" x14ac:dyDescent="0.3">
      <c r="A1" s="122" t="s">
        <v>419</v>
      </c>
      <c r="B1" s="103"/>
      <c r="C1" s="103"/>
      <c r="D1" s="103"/>
      <c r="E1" s="103"/>
      <c r="F1" s="103"/>
      <c r="G1" s="104"/>
    </row>
    <row r="2" spans="1:9" ht="14.25" customHeight="1" x14ac:dyDescent="0.3">
      <c r="A2" s="6" t="s">
        <v>32</v>
      </c>
      <c r="B2" s="7" t="s">
        <v>33</v>
      </c>
      <c r="C2" s="7" t="s">
        <v>36</v>
      </c>
      <c r="D2" s="7" t="s">
        <v>39</v>
      </c>
      <c r="E2" s="7" t="s">
        <v>43</v>
      </c>
      <c r="F2" s="7" t="s">
        <v>44</v>
      </c>
      <c r="G2" s="8" t="s">
        <v>45</v>
      </c>
      <c r="H2" s="35"/>
    </row>
    <row r="3" spans="1:9" ht="14.25" customHeight="1" x14ac:dyDescent="0.3">
      <c r="A3" s="21" t="s">
        <v>339</v>
      </c>
      <c r="B3" s="22" t="s">
        <v>116</v>
      </c>
      <c r="C3" s="22" t="s">
        <v>72</v>
      </c>
      <c r="D3" s="22" t="s">
        <v>420</v>
      </c>
      <c r="E3" s="22">
        <v>5</v>
      </c>
      <c r="F3" s="22">
        <v>2726.4</v>
      </c>
      <c r="G3" s="27">
        <v>0.1</v>
      </c>
      <c r="H3" s="36"/>
      <c r="I3" s="37"/>
    </row>
    <row r="4" spans="1:9" ht="14.25" customHeight="1" x14ac:dyDescent="0.3">
      <c r="A4" s="21" t="s">
        <v>109</v>
      </c>
      <c r="B4" s="22" t="s">
        <v>110</v>
      </c>
      <c r="C4" s="22" t="s">
        <v>72</v>
      </c>
      <c r="D4" s="22" t="s">
        <v>421</v>
      </c>
      <c r="E4" s="22">
        <v>7</v>
      </c>
      <c r="F4" s="22">
        <v>2501.4299999999998</v>
      </c>
      <c r="G4" s="27">
        <v>0.1</v>
      </c>
      <c r="H4" s="36"/>
    </row>
    <row r="5" spans="1:9" ht="14.25" customHeight="1" x14ac:dyDescent="0.3">
      <c r="A5" s="21" t="s">
        <v>366</v>
      </c>
      <c r="B5" s="22" t="s">
        <v>68</v>
      </c>
      <c r="C5" s="22" t="s">
        <v>141</v>
      </c>
      <c r="D5" s="22" t="s">
        <v>422</v>
      </c>
      <c r="E5" s="22">
        <v>6</v>
      </c>
      <c r="F5" s="22">
        <v>2638.63</v>
      </c>
      <c r="G5" s="27">
        <v>0.1</v>
      </c>
    </row>
    <row r="6" spans="1:9" ht="14.25" customHeight="1" x14ac:dyDescent="0.3">
      <c r="A6" s="21" t="s">
        <v>338</v>
      </c>
      <c r="B6" s="22" t="s">
        <v>68</v>
      </c>
      <c r="C6" s="22" t="s">
        <v>105</v>
      </c>
      <c r="D6" s="22" t="s">
        <v>423</v>
      </c>
      <c r="E6" s="22">
        <v>8</v>
      </c>
      <c r="F6" s="22">
        <v>475.82</v>
      </c>
      <c r="G6" s="27">
        <v>0.05</v>
      </c>
    </row>
    <row r="7" spans="1:9" ht="14.25" customHeight="1" x14ac:dyDescent="0.3">
      <c r="A7" s="21" t="s">
        <v>238</v>
      </c>
      <c r="B7" s="22" t="s">
        <v>104</v>
      </c>
      <c r="C7" s="22" t="s">
        <v>131</v>
      </c>
      <c r="D7" s="22" t="s">
        <v>424</v>
      </c>
      <c r="E7" s="22">
        <v>2</v>
      </c>
      <c r="F7" s="22">
        <v>2927.53</v>
      </c>
      <c r="G7" s="27">
        <v>0</v>
      </c>
    </row>
    <row r="8" spans="1:9" ht="14.25" customHeight="1" x14ac:dyDescent="0.3">
      <c r="A8" s="21" t="s">
        <v>173</v>
      </c>
      <c r="B8" s="22" t="s">
        <v>161</v>
      </c>
      <c r="C8" s="22" t="s">
        <v>105</v>
      </c>
      <c r="D8" s="22" t="s">
        <v>425</v>
      </c>
      <c r="E8" s="22">
        <v>2</v>
      </c>
      <c r="F8" s="22">
        <v>358.09</v>
      </c>
      <c r="G8" s="27">
        <v>0.05</v>
      </c>
    </row>
    <row r="9" spans="1:9" ht="14.25" customHeight="1" x14ac:dyDescent="0.3">
      <c r="A9" s="21" t="s">
        <v>362</v>
      </c>
      <c r="B9" s="22" t="s">
        <v>107</v>
      </c>
      <c r="C9" s="22" t="s">
        <v>177</v>
      </c>
      <c r="D9" s="22" t="s">
        <v>426</v>
      </c>
      <c r="E9" s="22">
        <v>7</v>
      </c>
      <c r="F9" s="22">
        <v>1647.48</v>
      </c>
      <c r="G9" s="27">
        <v>0.1</v>
      </c>
    </row>
    <row r="10" spans="1:9" ht="14.25" customHeight="1" x14ac:dyDescent="0.3">
      <c r="A10" s="21" t="s">
        <v>148</v>
      </c>
      <c r="B10" s="22" t="s">
        <v>96</v>
      </c>
      <c r="C10" s="22" t="s">
        <v>131</v>
      </c>
      <c r="D10" s="38">
        <v>45367</v>
      </c>
      <c r="E10" s="22">
        <v>1</v>
      </c>
      <c r="F10" s="22">
        <v>2757.45</v>
      </c>
      <c r="G10" s="27">
        <v>0</v>
      </c>
    </row>
    <row r="11" spans="1:9" ht="14.25" customHeight="1" x14ac:dyDescent="0.3">
      <c r="A11" s="21" t="s">
        <v>235</v>
      </c>
      <c r="B11" s="22" t="s">
        <v>205</v>
      </c>
      <c r="C11" s="22" t="s">
        <v>63</v>
      </c>
      <c r="D11" s="22" t="s">
        <v>427</v>
      </c>
      <c r="E11" s="22">
        <v>7</v>
      </c>
      <c r="F11" s="22">
        <v>1145.1300000000001</v>
      </c>
      <c r="G11" s="27">
        <v>0.15</v>
      </c>
    </row>
    <row r="12" spans="1:9" ht="14.25" customHeight="1" x14ac:dyDescent="0.3">
      <c r="A12" s="21" t="s">
        <v>273</v>
      </c>
      <c r="B12" s="22" t="s">
        <v>96</v>
      </c>
      <c r="C12" s="22" t="s">
        <v>108</v>
      </c>
      <c r="D12" s="22" t="s">
        <v>428</v>
      </c>
      <c r="E12" s="22">
        <v>6</v>
      </c>
      <c r="F12" s="22">
        <v>931.92</v>
      </c>
      <c r="G12" s="27">
        <v>0.05</v>
      </c>
    </row>
    <row r="13" spans="1:9" ht="14.25" customHeight="1" x14ac:dyDescent="0.3">
      <c r="A13" s="21" t="s">
        <v>75</v>
      </c>
      <c r="B13" s="22" t="s">
        <v>76</v>
      </c>
      <c r="C13" s="22" t="s">
        <v>77</v>
      </c>
      <c r="D13" s="22" t="s">
        <v>429</v>
      </c>
      <c r="E13" s="22">
        <v>7</v>
      </c>
      <c r="F13" s="22">
        <v>449.39</v>
      </c>
      <c r="G13" s="27">
        <v>0.15</v>
      </c>
    </row>
    <row r="14" spans="1:9" ht="14.25" customHeight="1" x14ac:dyDescent="0.3">
      <c r="A14" s="21" t="s">
        <v>269</v>
      </c>
      <c r="B14" s="22" t="s">
        <v>104</v>
      </c>
      <c r="C14" s="22" t="s">
        <v>94</v>
      </c>
      <c r="D14" s="22" t="s">
        <v>430</v>
      </c>
      <c r="E14" s="22">
        <v>5</v>
      </c>
      <c r="F14" s="22">
        <v>1115.49</v>
      </c>
      <c r="G14" s="27">
        <v>0.05</v>
      </c>
    </row>
    <row r="15" spans="1:9" ht="14.25" customHeight="1" x14ac:dyDescent="0.3">
      <c r="A15" s="21" t="s">
        <v>314</v>
      </c>
      <c r="B15" s="22" t="s">
        <v>153</v>
      </c>
      <c r="C15" s="22" t="s">
        <v>82</v>
      </c>
      <c r="D15" s="38">
        <v>45587</v>
      </c>
      <c r="E15" s="22">
        <v>1</v>
      </c>
      <c r="F15" s="22">
        <v>3364.22</v>
      </c>
      <c r="G15" s="27">
        <v>0</v>
      </c>
    </row>
    <row r="16" spans="1:9" ht="14.25" customHeight="1" x14ac:dyDescent="0.3">
      <c r="A16" s="21" t="s">
        <v>251</v>
      </c>
      <c r="B16" s="22" t="s">
        <v>101</v>
      </c>
      <c r="C16" s="22" t="s">
        <v>163</v>
      </c>
      <c r="D16" s="22" t="s">
        <v>431</v>
      </c>
      <c r="E16" s="22" t="s">
        <v>432</v>
      </c>
      <c r="F16" s="22">
        <v>2352.2399999999998</v>
      </c>
      <c r="G16" s="27"/>
    </row>
    <row r="17" spans="1:7" ht="14.25" customHeight="1" x14ac:dyDescent="0.3">
      <c r="A17" s="21" t="s">
        <v>229</v>
      </c>
      <c r="B17" s="22" t="s">
        <v>90</v>
      </c>
      <c r="C17" s="22" t="s">
        <v>177</v>
      </c>
      <c r="D17" s="22" t="s">
        <v>433</v>
      </c>
      <c r="E17" s="22">
        <v>6</v>
      </c>
      <c r="F17" s="22">
        <v>1206.4100000000001</v>
      </c>
      <c r="G17" s="27">
        <v>0.2</v>
      </c>
    </row>
    <row r="18" spans="1:7" ht="14.25" customHeight="1" x14ac:dyDescent="0.3">
      <c r="A18" s="21" t="s">
        <v>363</v>
      </c>
      <c r="B18" s="22" t="s">
        <v>68</v>
      </c>
      <c r="C18" s="22" t="s">
        <v>177</v>
      </c>
      <c r="D18" s="22" t="s">
        <v>426</v>
      </c>
      <c r="E18" s="22">
        <v>5</v>
      </c>
      <c r="F18" s="22">
        <v>1213.8599999999999</v>
      </c>
      <c r="G18" s="27">
        <v>0.2</v>
      </c>
    </row>
    <row r="19" spans="1:7" ht="14.25" customHeight="1" x14ac:dyDescent="0.3">
      <c r="A19" s="21" t="s">
        <v>321</v>
      </c>
      <c r="B19" s="22" t="s">
        <v>62</v>
      </c>
      <c r="C19" s="22" t="s">
        <v>82</v>
      </c>
      <c r="D19" s="22" t="s">
        <v>434</v>
      </c>
      <c r="E19" s="22">
        <v>5</v>
      </c>
      <c r="F19" s="22">
        <v>3584.61</v>
      </c>
      <c r="G19" s="27">
        <v>0.2</v>
      </c>
    </row>
    <row r="20" spans="1:7" ht="14.25" customHeight="1" x14ac:dyDescent="0.3">
      <c r="A20" s="21" t="s">
        <v>200</v>
      </c>
      <c r="B20" s="22" t="s">
        <v>153</v>
      </c>
      <c r="C20" s="22" t="s">
        <v>155</v>
      </c>
      <c r="D20" s="22" t="s">
        <v>435</v>
      </c>
      <c r="E20" s="22">
        <v>1</v>
      </c>
      <c r="F20" s="22">
        <v>1674.98</v>
      </c>
      <c r="G20" s="27">
        <v>0.15</v>
      </c>
    </row>
    <row r="21" spans="1:7" ht="14.25" customHeight="1" x14ac:dyDescent="0.3">
      <c r="A21" s="21" t="s">
        <v>336</v>
      </c>
      <c r="B21" s="22" t="s">
        <v>158</v>
      </c>
      <c r="C21" s="22" t="s">
        <v>99</v>
      </c>
      <c r="D21" s="22" t="s">
        <v>436</v>
      </c>
      <c r="E21" s="22">
        <v>6</v>
      </c>
      <c r="F21" s="22">
        <v>2968.87</v>
      </c>
      <c r="G21" s="27">
        <v>0.2</v>
      </c>
    </row>
    <row r="22" spans="1:7" ht="14.25" customHeight="1" x14ac:dyDescent="0.3">
      <c r="A22" s="21" t="s">
        <v>55</v>
      </c>
      <c r="B22" s="22" t="s">
        <v>56</v>
      </c>
      <c r="C22" s="22" t="s">
        <v>57</v>
      </c>
      <c r="D22" s="22" t="s">
        <v>437</v>
      </c>
      <c r="E22" s="22">
        <v>8</v>
      </c>
      <c r="F22" s="22">
        <v>1701.73</v>
      </c>
      <c r="G22" s="27">
        <v>0.1</v>
      </c>
    </row>
    <row r="23" spans="1:7" ht="14.25" customHeight="1" x14ac:dyDescent="0.3">
      <c r="A23" s="21" t="s">
        <v>103</v>
      </c>
      <c r="B23" s="22" t="s">
        <v>104</v>
      </c>
      <c r="C23" s="22" t="s">
        <v>105</v>
      </c>
      <c r="D23" s="22" t="s">
        <v>438</v>
      </c>
      <c r="E23" s="22">
        <v>4</v>
      </c>
      <c r="F23" s="22">
        <v>457.44</v>
      </c>
      <c r="G23" s="27">
        <v>0.05</v>
      </c>
    </row>
    <row r="24" spans="1:7" ht="14.25" customHeight="1" x14ac:dyDescent="0.3">
      <c r="A24" s="21" t="s">
        <v>124</v>
      </c>
      <c r="B24" s="22" t="s">
        <v>88</v>
      </c>
      <c r="C24" s="22" t="s">
        <v>86</v>
      </c>
      <c r="D24" s="22" t="s">
        <v>439</v>
      </c>
      <c r="E24" s="22">
        <v>7</v>
      </c>
      <c r="F24" s="22">
        <v>2883.77</v>
      </c>
      <c r="G24" s="27">
        <v>0.1</v>
      </c>
    </row>
    <row r="25" spans="1:7" ht="14.25" customHeight="1" x14ac:dyDescent="0.3">
      <c r="A25" s="21" t="s">
        <v>165</v>
      </c>
      <c r="B25" s="22" t="s">
        <v>96</v>
      </c>
      <c r="C25" s="22" t="s">
        <v>131</v>
      </c>
      <c r="D25" s="22" t="s">
        <v>440</v>
      </c>
      <c r="E25" s="22">
        <v>2</v>
      </c>
      <c r="F25" s="22">
        <v>2984.45</v>
      </c>
      <c r="G25" s="27">
        <v>0</v>
      </c>
    </row>
    <row r="26" spans="1:7" ht="14.25" customHeight="1" x14ac:dyDescent="0.3">
      <c r="A26" s="21" t="s">
        <v>361</v>
      </c>
      <c r="B26" s="22" t="s">
        <v>88</v>
      </c>
      <c r="C26" s="22" t="s">
        <v>177</v>
      </c>
      <c r="D26" s="22" t="s">
        <v>441</v>
      </c>
      <c r="E26" s="22">
        <v>3</v>
      </c>
      <c r="F26" s="22">
        <v>1503.94</v>
      </c>
      <c r="G26" s="27">
        <v>0.2</v>
      </c>
    </row>
    <row r="27" spans="1:7" ht="14.25" customHeight="1" x14ac:dyDescent="0.3">
      <c r="A27" s="21" t="s">
        <v>335</v>
      </c>
      <c r="B27" s="22" t="s">
        <v>129</v>
      </c>
      <c r="C27" s="22" t="s">
        <v>97</v>
      </c>
      <c r="D27" s="22" t="s">
        <v>442</v>
      </c>
      <c r="E27" s="22">
        <v>8</v>
      </c>
      <c r="F27" s="22">
        <v>1954.62</v>
      </c>
      <c r="G27" s="27">
        <v>0.1</v>
      </c>
    </row>
    <row r="28" spans="1:7" ht="14.25" customHeight="1" x14ac:dyDescent="0.3">
      <c r="A28" s="21" t="s">
        <v>142</v>
      </c>
      <c r="B28" s="22" t="s">
        <v>71</v>
      </c>
      <c r="C28" s="22" t="s">
        <v>141</v>
      </c>
      <c r="D28" s="22" t="s">
        <v>443</v>
      </c>
      <c r="E28" s="22">
        <v>8</v>
      </c>
      <c r="F28" s="22">
        <v>2514.71</v>
      </c>
      <c r="G28" s="27">
        <v>0.05</v>
      </c>
    </row>
    <row r="29" spans="1:7" ht="14.25" customHeight="1" x14ac:dyDescent="0.3">
      <c r="A29" s="21" t="s">
        <v>292</v>
      </c>
      <c r="B29" s="22" t="s">
        <v>107</v>
      </c>
      <c r="C29" s="22" t="s">
        <v>163</v>
      </c>
      <c r="D29" s="22" t="s">
        <v>444</v>
      </c>
      <c r="E29" s="22">
        <v>6</v>
      </c>
      <c r="F29" s="22">
        <v>1767.38</v>
      </c>
      <c r="G29" s="27">
        <v>0.2</v>
      </c>
    </row>
    <row r="30" spans="1:7" ht="14.25" customHeight="1" x14ac:dyDescent="0.3">
      <c r="A30" s="21" t="s">
        <v>222</v>
      </c>
      <c r="B30" s="22" t="s">
        <v>168</v>
      </c>
      <c r="C30" s="22" t="s">
        <v>146</v>
      </c>
      <c r="D30" s="22" t="s">
        <v>445</v>
      </c>
      <c r="E30" s="22">
        <v>4</v>
      </c>
      <c r="F30" s="22">
        <v>308.75</v>
      </c>
      <c r="G30" s="27">
        <v>0</v>
      </c>
    </row>
    <row r="31" spans="1:7" ht="14.25" customHeight="1" x14ac:dyDescent="0.3">
      <c r="A31" s="21" t="s">
        <v>160</v>
      </c>
      <c r="B31" s="22" t="s">
        <v>161</v>
      </c>
      <c r="C31" s="22" t="s">
        <v>102</v>
      </c>
      <c r="D31" s="22" t="s">
        <v>446</v>
      </c>
      <c r="E31" s="22">
        <v>8</v>
      </c>
      <c r="F31" s="22">
        <v>2053.34</v>
      </c>
      <c r="G31" s="27">
        <v>0.1</v>
      </c>
    </row>
    <row r="32" spans="1:7" ht="14.25" customHeight="1" x14ac:dyDescent="0.3">
      <c r="A32" s="21" t="s">
        <v>140</v>
      </c>
      <c r="B32" s="22" t="s">
        <v>107</v>
      </c>
      <c r="C32" s="22" t="s">
        <v>141</v>
      </c>
      <c r="D32" s="22" t="s">
        <v>447</v>
      </c>
      <c r="E32" s="22">
        <v>5</v>
      </c>
      <c r="F32" s="22">
        <v>2337.25</v>
      </c>
      <c r="G32" s="27">
        <v>0</v>
      </c>
    </row>
    <row r="33" spans="1:7" ht="14.25" customHeight="1" x14ac:dyDescent="0.3">
      <c r="A33" s="21" t="s">
        <v>234</v>
      </c>
      <c r="B33" s="22" t="s">
        <v>161</v>
      </c>
      <c r="C33" s="22" t="s">
        <v>54</v>
      </c>
      <c r="D33" s="22" t="s">
        <v>448</v>
      </c>
      <c r="E33" s="22">
        <v>7</v>
      </c>
      <c r="F33" s="22">
        <v>3319.84</v>
      </c>
      <c r="G33" s="27">
        <v>0</v>
      </c>
    </row>
    <row r="34" spans="1:7" ht="14.25" customHeight="1" x14ac:dyDescent="0.3">
      <c r="A34" s="21" t="s">
        <v>233</v>
      </c>
      <c r="B34" s="22" t="s">
        <v>129</v>
      </c>
      <c r="C34" s="22" t="s">
        <v>146</v>
      </c>
      <c r="D34" s="22" t="s">
        <v>449</v>
      </c>
      <c r="E34" s="22">
        <v>5</v>
      </c>
      <c r="F34" s="22">
        <v>278.91000000000003</v>
      </c>
      <c r="G34" s="27">
        <v>0.05</v>
      </c>
    </row>
    <row r="35" spans="1:7" ht="14.25" customHeight="1" x14ac:dyDescent="0.3">
      <c r="A35" s="21" t="s">
        <v>342</v>
      </c>
      <c r="B35" s="22" t="s">
        <v>104</v>
      </c>
      <c r="C35" s="22" t="s">
        <v>63</v>
      </c>
      <c r="D35" s="22" t="s">
        <v>450</v>
      </c>
      <c r="E35" s="22">
        <v>3</v>
      </c>
      <c r="F35" s="22">
        <v>990.86</v>
      </c>
      <c r="G35" s="27"/>
    </row>
    <row r="36" spans="1:7" ht="14.25" customHeight="1" x14ac:dyDescent="0.3">
      <c r="A36" s="21" t="s">
        <v>215</v>
      </c>
      <c r="B36" s="22" t="s">
        <v>123</v>
      </c>
      <c r="C36" s="22" t="s">
        <v>80</v>
      </c>
      <c r="D36" s="22" t="s">
        <v>451</v>
      </c>
      <c r="E36" s="22">
        <v>5</v>
      </c>
      <c r="F36" s="22">
        <v>2000.37</v>
      </c>
      <c r="G36" s="27">
        <v>0</v>
      </c>
    </row>
    <row r="37" spans="1:7" ht="14.25" customHeight="1" x14ac:dyDescent="0.3">
      <c r="A37" s="21" t="s">
        <v>250</v>
      </c>
      <c r="B37" s="22" t="s">
        <v>199</v>
      </c>
      <c r="C37" s="22" t="s">
        <v>77</v>
      </c>
      <c r="D37" s="22" t="s">
        <v>452</v>
      </c>
      <c r="E37" s="22">
        <v>7</v>
      </c>
      <c r="F37" s="22">
        <v>503.78</v>
      </c>
      <c r="G37" s="27">
        <v>0.05</v>
      </c>
    </row>
    <row r="38" spans="1:7" ht="14.25" customHeight="1" x14ac:dyDescent="0.3">
      <c r="A38" s="21" t="s">
        <v>145</v>
      </c>
      <c r="B38" s="22" t="s">
        <v>110</v>
      </c>
      <c r="C38" s="22" t="s">
        <v>146</v>
      </c>
      <c r="D38" s="22" t="s">
        <v>453</v>
      </c>
      <c r="E38" s="22">
        <v>8</v>
      </c>
      <c r="F38" s="22">
        <v>281.41000000000003</v>
      </c>
      <c r="G38" s="27">
        <v>0.1</v>
      </c>
    </row>
    <row r="39" spans="1:7" ht="14.25" customHeight="1" x14ac:dyDescent="0.3">
      <c r="A39" s="21" t="s">
        <v>266</v>
      </c>
      <c r="B39" s="22" t="s">
        <v>96</v>
      </c>
      <c r="C39" s="22" t="s">
        <v>66</v>
      </c>
      <c r="D39" s="22" t="s">
        <v>454</v>
      </c>
      <c r="E39" s="22"/>
      <c r="F39" s="22">
        <v>921.19</v>
      </c>
      <c r="G39" s="27">
        <v>0.15</v>
      </c>
    </row>
    <row r="40" spans="1:7" ht="14.25" customHeight="1" x14ac:dyDescent="0.3">
      <c r="A40" s="21" t="s">
        <v>265</v>
      </c>
      <c r="B40" s="22" t="s">
        <v>88</v>
      </c>
      <c r="C40" s="22" t="s">
        <v>77</v>
      </c>
      <c r="D40" s="22" t="s">
        <v>455</v>
      </c>
      <c r="E40" s="22">
        <v>2</v>
      </c>
      <c r="F40" s="22">
        <v>490.09</v>
      </c>
      <c r="G40" s="27">
        <v>0.05</v>
      </c>
    </row>
    <row r="41" spans="1:7" ht="14.25" customHeight="1" x14ac:dyDescent="0.3">
      <c r="A41" s="21" t="s">
        <v>256</v>
      </c>
      <c r="B41" s="22" t="s">
        <v>129</v>
      </c>
      <c r="C41" s="22" t="s">
        <v>146</v>
      </c>
      <c r="D41" s="22" t="s">
        <v>456</v>
      </c>
      <c r="E41" s="22">
        <v>4</v>
      </c>
      <c r="F41" s="22">
        <v>285.83999999999997</v>
      </c>
      <c r="G41" s="27">
        <v>0.05</v>
      </c>
    </row>
    <row r="42" spans="1:7" ht="14.25" customHeight="1" x14ac:dyDescent="0.3">
      <c r="A42" s="21" t="s">
        <v>178</v>
      </c>
      <c r="B42" s="22" t="s">
        <v>101</v>
      </c>
      <c r="C42" s="22" t="s">
        <v>163</v>
      </c>
      <c r="D42" s="22" t="s">
        <v>457</v>
      </c>
      <c r="E42" s="22">
        <v>1</v>
      </c>
      <c r="F42" s="22">
        <v>2162.85</v>
      </c>
      <c r="G42" s="27">
        <v>0.05</v>
      </c>
    </row>
    <row r="43" spans="1:7" ht="14.25" customHeight="1" x14ac:dyDescent="0.3">
      <c r="A43" s="21" t="s">
        <v>214</v>
      </c>
      <c r="B43" s="22" t="s">
        <v>205</v>
      </c>
      <c r="C43" s="22" t="s">
        <v>117</v>
      </c>
      <c r="D43" s="22" t="s">
        <v>451</v>
      </c>
      <c r="E43" s="22">
        <v>8</v>
      </c>
      <c r="F43" s="22">
        <v>1296.83</v>
      </c>
      <c r="G43" s="27">
        <v>0.2</v>
      </c>
    </row>
    <row r="44" spans="1:7" ht="14.25" customHeight="1" x14ac:dyDescent="0.3">
      <c r="A44" s="21" t="s">
        <v>245</v>
      </c>
      <c r="B44" s="22" t="s">
        <v>107</v>
      </c>
      <c r="C44" s="22" t="s">
        <v>63</v>
      </c>
      <c r="D44" s="22" t="s">
        <v>458</v>
      </c>
      <c r="E44" s="22">
        <v>1</v>
      </c>
      <c r="F44" s="22">
        <v>1107.74</v>
      </c>
      <c r="G44" s="27"/>
    </row>
    <row r="45" spans="1:7" ht="14.25" customHeight="1" x14ac:dyDescent="0.3">
      <c r="A45" s="21" t="s">
        <v>258</v>
      </c>
      <c r="B45" s="22" t="s">
        <v>90</v>
      </c>
      <c r="C45" s="22" t="s">
        <v>102</v>
      </c>
      <c r="D45" s="22" t="s">
        <v>459</v>
      </c>
      <c r="E45" s="22">
        <v>4</v>
      </c>
      <c r="F45" s="22">
        <v>1798.49</v>
      </c>
      <c r="G45" s="27">
        <v>0</v>
      </c>
    </row>
    <row r="46" spans="1:7" ht="14.25" customHeight="1" x14ac:dyDescent="0.3">
      <c r="A46" s="21" t="s">
        <v>343</v>
      </c>
      <c r="B46" s="22" t="s">
        <v>62</v>
      </c>
      <c r="C46" s="22" t="s">
        <v>60</v>
      </c>
      <c r="D46" s="22" t="s">
        <v>460</v>
      </c>
      <c r="E46" s="22">
        <v>8</v>
      </c>
      <c r="F46" s="22">
        <v>2497.1</v>
      </c>
      <c r="G46" s="27">
        <v>0</v>
      </c>
    </row>
    <row r="47" spans="1:7" ht="14.25" customHeight="1" x14ac:dyDescent="0.3">
      <c r="A47" s="21" t="s">
        <v>328</v>
      </c>
      <c r="B47" s="22" t="s">
        <v>76</v>
      </c>
      <c r="C47" s="22" t="s">
        <v>77</v>
      </c>
      <c r="D47" s="22" t="s">
        <v>461</v>
      </c>
      <c r="E47" s="22">
        <v>8</v>
      </c>
      <c r="F47" s="22">
        <v>461.52</v>
      </c>
      <c r="G47" s="27">
        <v>0</v>
      </c>
    </row>
    <row r="48" spans="1:7" ht="14.25" customHeight="1" x14ac:dyDescent="0.3">
      <c r="A48" s="21" t="s">
        <v>350</v>
      </c>
      <c r="B48" s="22" t="s">
        <v>96</v>
      </c>
      <c r="C48" s="22" t="s">
        <v>172</v>
      </c>
      <c r="D48" s="22" t="s">
        <v>462</v>
      </c>
      <c r="E48" s="22">
        <v>7</v>
      </c>
      <c r="F48" s="22">
        <v>2731.89</v>
      </c>
      <c r="G48" s="27">
        <v>0.15</v>
      </c>
    </row>
    <row r="49" spans="1:7" ht="14.25" customHeight="1" x14ac:dyDescent="0.3">
      <c r="A49" s="21" t="s">
        <v>212</v>
      </c>
      <c r="B49" s="22" t="s">
        <v>168</v>
      </c>
      <c r="C49" s="22" t="s">
        <v>155</v>
      </c>
      <c r="D49" s="22" t="s">
        <v>463</v>
      </c>
      <c r="E49" s="22">
        <v>3</v>
      </c>
      <c r="F49" s="22">
        <v>1681.97</v>
      </c>
      <c r="G49" s="27">
        <v>0.15</v>
      </c>
    </row>
    <row r="50" spans="1:7" ht="14.25" customHeight="1" x14ac:dyDescent="0.3">
      <c r="A50" s="21" t="s">
        <v>216</v>
      </c>
      <c r="B50" s="22" t="s">
        <v>199</v>
      </c>
      <c r="C50" s="22" t="s">
        <v>97</v>
      </c>
      <c r="D50" s="22" t="s">
        <v>464</v>
      </c>
      <c r="E50" s="22">
        <v>5</v>
      </c>
      <c r="F50" s="22">
        <v>1938.56</v>
      </c>
      <c r="G50" s="27">
        <v>0.05</v>
      </c>
    </row>
    <row r="51" spans="1:7" ht="14.25" customHeight="1" x14ac:dyDescent="0.3">
      <c r="A51" s="21" t="s">
        <v>351</v>
      </c>
      <c r="B51" s="22" t="s">
        <v>112</v>
      </c>
      <c r="C51" s="22" t="s">
        <v>54</v>
      </c>
      <c r="D51" s="22" t="s">
        <v>462</v>
      </c>
      <c r="E51" s="22">
        <v>2</v>
      </c>
      <c r="F51" s="22">
        <v>2917.99</v>
      </c>
      <c r="G51" s="27">
        <v>0.15</v>
      </c>
    </row>
    <row r="52" spans="1:7" ht="14.25" customHeight="1" x14ac:dyDescent="0.3">
      <c r="A52" s="21" t="s">
        <v>147</v>
      </c>
      <c r="B52" s="22" t="s">
        <v>71</v>
      </c>
      <c r="C52" s="22" t="s">
        <v>131</v>
      </c>
      <c r="D52" s="22" t="s">
        <v>465</v>
      </c>
      <c r="E52" s="22">
        <v>5</v>
      </c>
      <c r="F52" s="22">
        <v>2769.3</v>
      </c>
      <c r="G52" s="27">
        <v>0</v>
      </c>
    </row>
    <row r="53" spans="1:7" ht="14.25" customHeight="1" x14ac:dyDescent="0.3">
      <c r="A53" s="21" t="s">
        <v>288</v>
      </c>
      <c r="B53" s="22" t="s">
        <v>199</v>
      </c>
      <c r="C53" s="22" t="s">
        <v>120</v>
      </c>
      <c r="D53" s="22" t="s">
        <v>466</v>
      </c>
      <c r="E53" s="22">
        <v>3</v>
      </c>
      <c r="F53" s="22">
        <v>1295.07</v>
      </c>
      <c r="G53" s="27">
        <v>0.1</v>
      </c>
    </row>
    <row r="54" spans="1:7" ht="14.25" customHeight="1" x14ac:dyDescent="0.3">
      <c r="A54" s="21" t="s">
        <v>333</v>
      </c>
      <c r="B54" s="22" t="s">
        <v>158</v>
      </c>
      <c r="C54" s="22" t="s">
        <v>86</v>
      </c>
      <c r="D54" s="22" t="s">
        <v>467</v>
      </c>
      <c r="E54" s="22">
        <v>8</v>
      </c>
      <c r="F54" s="22">
        <v>3570.05</v>
      </c>
      <c r="G54" s="27">
        <v>0.2</v>
      </c>
    </row>
    <row r="55" spans="1:7" ht="14.25" customHeight="1" x14ac:dyDescent="0.3">
      <c r="A55" s="21" t="s">
        <v>341</v>
      </c>
      <c r="B55" s="22" t="s">
        <v>88</v>
      </c>
      <c r="C55" s="22" t="s">
        <v>80</v>
      </c>
      <c r="D55" s="22" t="s">
        <v>468</v>
      </c>
      <c r="E55" s="22">
        <v>6</v>
      </c>
      <c r="F55" s="22">
        <v>1623.98</v>
      </c>
      <c r="G55" s="27">
        <v>0</v>
      </c>
    </row>
    <row r="56" spans="1:7" ht="14.25" customHeight="1" x14ac:dyDescent="0.3">
      <c r="A56" s="21" t="s">
        <v>359</v>
      </c>
      <c r="B56" s="22" t="s">
        <v>96</v>
      </c>
      <c r="C56" s="22" t="s">
        <v>74</v>
      </c>
      <c r="D56" s="22" t="s">
        <v>469</v>
      </c>
      <c r="E56" s="22">
        <v>7</v>
      </c>
      <c r="F56" s="22">
        <v>337.15</v>
      </c>
      <c r="G56" s="27">
        <v>0.2</v>
      </c>
    </row>
    <row r="57" spans="1:7" ht="14.25" customHeight="1" x14ac:dyDescent="0.3">
      <c r="A57" s="21" t="s">
        <v>367</v>
      </c>
      <c r="B57" s="22" t="s">
        <v>96</v>
      </c>
      <c r="C57" s="22" t="s">
        <v>105</v>
      </c>
      <c r="D57" s="22"/>
      <c r="E57" s="22">
        <v>5</v>
      </c>
      <c r="F57" s="22">
        <v>395.53</v>
      </c>
      <c r="G57" s="27">
        <v>0</v>
      </c>
    </row>
    <row r="58" spans="1:7" ht="14.25" customHeight="1" x14ac:dyDescent="0.3">
      <c r="A58" s="21" t="s">
        <v>157</v>
      </c>
      <c r="B58" s="22" t="s">
        <v>158</v>
      </c>
      <c r="C58" s="22" t="s">
        <v>108</v>
      </c>
      <c r="D58" s="22" t="s">
        <v>470</v>
      </c>
      <c r="E58" s="22">
        <v>8</v>
      </c>
      <c r="F58" s="22"/>
      <c r="G58" s="27">
        <v>0</v>
      </c>
    </row>
    <row r="59" spans="1:7" ht="14.25" customHeight="1" x14ac:dyDescent="0.3">
      <c r="A59" s="21" t="s">
        <v>143</v>
      </c>
      <c r="B59" s="22" t="s">
        <v>144</v>
      </c>
      <c r="C59" s="22" t="s">
        <v>108</v>
      </c>
      <c r="D59" s="22" t="s">
        <v>443</v>
      </c>
      <c r="E59" s="22">
        <v>6</v>
      </c>
      <c r="F59" s="22">
        <v>994.2</v>
      </c>
      <c r="G59" s="27">
        <v>0</v>
      </c>
    </row>
    <row r="60" spans="1:7" ht="14.25" customHeight="1" x14ac:dyDescent="0.3">
      <c r="A60" s="21" t="s">
        <v>221</v>
      </c>
      <c r="B60" s="22" t="s">
        <v>112</v>
      </c>
      <c r="C60" s="22" t="s">
        <v>117</v>
      </c>
      <c r="D60" s="22" t="s">
        <v>445</v>
      </c>
      <c r="E60" s="22">
        <v>8</v>
      </c>
      <c r="F60" s="22">
        <v>1353.55</v>
      </c>
      <c r="G60" s="27">
        <v>0.15</v>
      </c>
    </row>
    <row r="61" spans="1:7" ht="14.25" customHeight="1" x14ac:dyDescent="0.3">
      <c r="A61" s="21" t="s">
        <v>296</v>
      </c>
      <c r="B61" s="22" t="s">
        <v>144</v>
      </c>
      <c r="C61" s="22" t="s">
        <v>141</v>
      </c>
      <c r="D61" s="22" t="s">
        <v>471</v>
      </c>
      <c r="E61" s="22">
        <v>1</v>
      </c>
      <c r="F61" s="22">
        <v>2834.55</v>
      </c>
      <c r="G61" s="27">
        <v>0.05</v>
      </c>
    </row>
    <row r="62" spans="1:7" ht="14.25" customHeight="1" x14ac:dyDescent="0.3">
      <c r="A62" s="21" t="s">
        <v>284</v>
      </c>
      <c r="B62" s="22" t="s">
        <v>65</v>
      </c>
      <c r="C62" s="22" t="s">
        <v>80</v>
      </c>
      <c r="D62" s="22" t="s">
        <v>472</v>
      </c>
      <c r="E62" s="22">
        <v>5</v>
      </c>
      <c r="F62" s="22">
        <v>2007.03</v>
      </c>
      <c r="G62" s="27">
        <v>0</v>
      </c>
    </row>
    <row r="63" spans="1:7" ht="14.25" customHeight="1" x14ac:dyDescent="0.3">
      <c r="A63" s="21" t="s">
        <v>174</v>
      </c>
      <c r="B63" s="22" t="s">
        <v>158</v>
      </c>
      <c r="C63" s="22" t="s">
        <v>60</v>
      </c>
      <c r="D63" s="22" t="s">
        <v>473</v>
      </c>
      <c r="E63" s="22">
        <v>6</v>
      </c>
      <c r="F63" s="22">
        <v>2090.73</v>
      </c>
      <c r="G63" s="27">
        <v>0.2</v>
      </c>
    </row>
    <row r="64" spans="1:7" ht="14.25" customHeight="1" x14ac:dyDescent="0.3">
      <c r="A64" s="21" t="s">
        <v>230</v>
      </c>
      <c r="B64" s="22" t="s">
        <v>158</v>
      </c>
      <c r="C64" s="22" t="s">
        <v>117</v>
      </c>
      <c r="D64" s="22" t="s">
        <v>474</v>
      </c>
      <c r="E64" s="22">
        <v>1</v>
      </c>
      <c r="F64" s="22">
        <v>1537.7</v>
      </c>
      <c r="G64" s="27">
        <v>0.2</v>
      </c>
    </row>
    <row r="65" spans="1:7" ht="14.25" customHeight="1" x14ac:dyDescent="0.3">
      <c r="A65" s="21" t="s">
        <v>134</v>
      </c>
      <c r="B65" s="22" t="s">
        <v>96</v>
      </c>
      <c r="C65" s="22" t="s">
        <v>135</v>
      </c>
      <c r="D65" s="22" t="s">
        <v>475</v>
      </c>
      <c r="E65" s="22">
        <v>4</v>
      </c>
      <c r="F65" s="22">
        <v>133.24</v>
      </c>
      <c r="G65" s="27">
        <v>0.1</v>
      </c>
    </row>
    <row r="66" spans="1:7" ht="14.25" customHeight="1" x14ac:dyDescent="0.3">
      <c r="A66" s="21" t="s">
        <v>272</v>
      </c>
      <c r="B66" s="22" t="s">
        <v>53</v>
      </c>
      <c r="C66" s="22" t="s">
        <v>94</v>
      </c>
      <c r="D66" s="22" t="s">
        <v>428</v>
      </c>
      <c r="E66" s="22">
        <v>5</v>
      </c>
      <c r="F66" s="22">
        <v>972.72</v>
      </c>
      <c r="G66" s="27">
        <v>0.15</v>
      </c>
    </row>
    <row r="67" spans="1:7" ht="14.25" customHeight="1" x14ac:dyDescent="0.3">
      <c r="A67" s="21" t="s">
        <v>268</v>
      </c>
      <c r="B67" s="22" t="s">
        <v>112</v>
      </c>
      <c r="C67" s="22" t="s">
        <v>69</v>
      </c>
      <c r="D67" s="22" t="s">
        <v>430</v>
      </c>
      <c r="E67" s="22">
        <v>7</v>
      </c>
      <c r="F67" s="22">
        <v>930.65</v>
      </c>
      <c r="G67" s="27">
        <v>0.1</v>
      </c>
    </row>
    <row r="68" spans="1:7" ht="14.25" customHeight="1" x14ac:dyDescent="0.3">
      <c r="A68" s="21" t="s">
        <v>263</v>
      </c>
      <c r="B68" s="22" t="s">
        <v>62</v>
      </c>
      <c r="C68" s="22" t="s">
        <v>63</v>
      </c>
      <c r="D68" s="22" t="s">
        <v>476</v>
      </c>
      <c r="E68" s="22">
        <v>6</v>
      </c>
      <c r="F68" s="22">
        <v>1035.3800000000001</v>
      </c>
      <c r="G68" s="27">
        <v>0.2</v>
      </c>
    </row>
    <row r="69" spans="1:7" ht="14.25" customHeight="1" x14ac:dyDescent="0.3">
      <c r="A69" s="21" t="s">
        <v>332</v>
      </c>
      <c r="B69" s="22" t="s">
        <v>79</v>
      </c>
      <c r="C69" s="22" t="s">
        <v>120</v>
      </c>
      <c r="D69" s="22" t="s">
        <v>477</v>
      </c>
      <c r="E69" s="22">
        <v>1</v>
      </c>
      <c r="F69" s="22">
        <v>1569.09</v>
      </c>
      <c r="G69" s="27">
        <v>0.15</v>
      </c>
    </row>
    <row r="70" spans="1:7" ht="14.25" customHeight="1" x14ac:dyDescent="0.3">
      <c r="A70" s="21" t="s">
        <v>255</v>
      </c>
      <c r="B70" s="22" t="s">
        <v>144</v>
      </c>
      <c r="C70" s="22" t="s">
        <v>80</v>
      </c>
      <c r="D70" s="22" t="s">
        <v>478</v>
      </c>
      <c r="E70" s="22">
        <v>1</v>
      </c>
      <c r="F70" s="22">
        <v>1697.73</v>
      </c>
      <c r="G70" s="27">
        <v>0</v>
      </c>
    </row>
    <row r="71" spans="1:7" ht="14.25" customHeight="1" x14ac:dyDescent="0.3">
      <c r="A71" s="21" t="s">
        <v>187</v>
      </c>
      <c r="B71" s="22" t="s">
        <v>112</v>
      </c>
      <c r="C71" s="22" t="s">
        <v>135</v>
      </c>
      <c r="D71" s="22" t="s">
        <v>479</v>
      </c>
      <c r="E71" s="22">
        <v>3</v>
      </c>
      <c r="F71" s="22">
        <v>139.02000000000001</v>
      </c>
      <c r="G71" s="27">
        <v>0</v>
      </c>
    </row>
    <row r="72" spans="1:7" ht="14.25" customHeight="1" x14ac:dyDescent="0.3">
      <c r="A72" s="21" t="s">
        <v>249</v>
      </c>
      <c r="B72" s="22" t="s">
        <v>158</v>
      </c>
      <c r="C72" s="22" t="s">
        <v>57</v>
      </c>
      <c r="D72" s="22" t="s">
        <v>480</v>
      </c>
      <c r="E72" s="22">
        <v>5</v>
      </c>
      <c r="F72" s="22">
        <v>1768.5</v>
      </c>
      <c r="G72" s="27">
        <v>0</v>
      </c>
    </row>
    <row r="73" spans="1:7" ht="14.25" customHeight="1" x14ac:dyDescent="0.3">
      <c r="A73" s="21" t="s">
        <v>202</v>
      </c>
      <c r="B73" s="22" t="s">
        <v>88</v>
      </c>
      <c r="C73" s="22" t="s">
        <v>66</v>
      </c>
      <c r="D73" s="22" t="s">
        <v>481</v>
      </c>
      <c r="E73" s="22">
        <v>5</v>
      </c>
      <c r="F73" s="22">
        <v>962.58</v>
      </c>
      <c r="G73" s="27">
        <v>0.15</v>
      </c>
    </row>
    <row r="74" spans="1:7" ht="14.25" customHeight="1" x14ac:dyDescent="0.3">
      <c r="A74" s="21" t="s">
        <v>98</v>
      </c>
      <c r="B74" s="22" t="s">
        <v>59</v>
      </c>
      <c r="C74" s="22" t="s">
        <v>99</v>
      </c>
      <c r="D74" s="22" t="s">
        <v>482</v>
      </c>
      <c r="E74" s="22">
        <v>3</v>
      </c>
      <c r="F74" s="22">
        <v>3031.42</v>
      </c>
      <c r="G74" s="27">
        <v>0.1</v>
      </c>
    </row>
    <row r="75" spans="1:7" ht="14.25" customHeight="1" x14ac:dyDescent="0.3">
      <c r="A75" s="21" t="s">
        <v>156</v>
      </c>
      <c r="B75" s="22" t="s">
        <v>101</v>
      </c>
      <c r="C75" s="22" t="s">
        <v>117</v>
      </c>
      <c r="D75" s="22" t="s">
        <v>470</v>
      </c>
      <c r="E75" s="22">
        <v>2</v>
      </c>
      <c r="F75" s="22">
        <v>1366.06</v>
      </c>
      <c r="G75" s="27">
        <v>0</v>
      </c>
    </row>
    <row r="76" spans="1:7" ht="14.25" customHeight="1" x14ac:dyDescent="0.3">
      <c r="A76" s="21" t="s">
        <v>279</v>
      </c>
      <c r="B76" s="22" t="s">
        <v>107</v>
      </c>
      <c r="C76" s="22" t="s">
        <v>82</v>
      </c>
      <c r="D76" s="22" t="s">
        <v>483</v>
      </c>
      <c r="E76" s="22">
        <v>5</v>
      </c>
      <c r="F76" s="22">
        <v>2792.59</v>
      </c>
      <c r="G76" s="27">
        <v>0.05</v>
      </c>
    </row>
    <row r="77" spans="1:7" ht="14.25" customHeight="1" x14ac:dyDescent="0.3">
      <c r="A77" s="21" t="s">
        <v>278</v>
      </c>
      <c r="B77" s="22" t="s">
        <v>110</v>
      </c>
      <c r="C77" s="22" t="s">
        <v>60</v>
      </c>
      <c r="D77" s="22" t="s">
        <v>483</v>
      </c>
      <c r="E77" s="22">
        <v>1</v>
      </c>
      <c r="F77" s="22">
        <v>2357.83</v>
      </c>
      <c r="G77" s="27">
        <v>0.05</v>
      </c>
    </row>
    <row r="78" spans="1:7" ht="14.25" customHeight="1" x14ac:dyDescent="0.3">
      <c r="A78" s="21" t="s">
        <v>344</v>
      </c>
      <c r="B78" s="22" t="s">
        <v>110</v>
      </c>
      <c r="C78" s="22" t="s">
        <v>172</v>
      </c>
      <c r="D78" s="22" t="s">
        <v>484</v>
      </c>
      <c r="E78" s="22">
        <v>4</v>
      </c>
      <c r="F78" s="22">
        <v>2323.96</v>
      </c>
      <c r="G78" s="27">
        <v>0</v>
      </c>
    </row>
    <row r="79" spans="1:7" ht="14.25" customHeight="1" x14ac:dyDescent="0.3">
      <c r="A79" s="21" t="s">
        <v>303</v>
      </c>
      <c r="B79" s="22" t="s">
        <v>65</v>
      </c>
      <c r="C79" s="22" t="s">
        <v>99</v>
      </c>
      <c r="D79" s="22" t="s">
        <v>485</v>
      </c>
      <c r="E79" s="22">
        <v>8</v>
      </c>
      <c r="F79" s="22">
        <v>3327.36</v>
      </c>
      <c r="G79" s="27">
        <v>0</v>
      </c>
    </row>
    <row r="80" spans="1:7" ht="14.25" customHeight="1" x14ac:dyDescent="0.3">
      <c r="A80" s="21" t="s">
        <v>220</v>
      </c>
      <c r="B80" s="22" t="s">
        <v>76</v>
      </c>
      <c r="C80" s="22" t="s">
        <v>86</v>
      </c>
      <c r="D80" s="22" t="s">
        <v>486</v>
      </c>
      <c r="E80" s="22">
        <v>7</v>
      </c>
      <c r="F80" s="22">
        <v>3548.51</v>
      </c>
      <c r="G80" s="27">
        <v>0.1</v>
      </c>
    </row>
    <row r="81" spans="1:7" ht="14.25" customHeight="1" x14ac:dyDescent="0.3">
      <c r="A81" s="21" t="s">
        <v>244</v>
      </c>
      <c r="B81" s="22" t="s">
        <v>205</v>
      </c>
      <c r="C81" s="22" t="s">
        <v>94</v>
      </c>
      <c r="D81" s="22" t="s">
        <v>487</v>
      </c>
      <c r="E81" s="22">
        <v>7</v>
      </c>
      <c r="F81" s="22">
        <v>1142.04</v>
      </c>
      <c r="G81" s="27">
        <v>0</v>
      </c>
    </row>
    <row r="82" spans="1:7" ht="14.25" customHeight="1" x14ac:dyDescent="0.3">
      <c r="A82" s="21" t="s">
        <v>353</v>
      </c>
      <c r="B82" s="22" t="s">
        <v>76</v>
      </c>
      <c r="C82" s="22" t="s">
        <v>120</v>
      </c>
      <c r="D82" s="22" t="s">
        <v>488</v>
      </c>
      <c r="E82" s="22">
        <v>3</v>
      </c>
      <c r="F82" s="22">
        <v>1351.14</v>
      </c>
      <c r="G82" s="27">
        <v>0</v>
      </c>
    </row>
    <row r="83" spans="1:7" ht="14.25" customHeight="1" x14ac:dyDescent="0.3">
      <c r="A83" s="21" t="s">
        <v>95</v>
      </c>
      <c r="B83" s="22" t="s">
        <v>96</v>
      </c>
      <c r="C83" s="22" t="s">
        <v>97</v>
      </c>
      <c r="D83" s="22" t="s">
        <v>489</v>
      </c>
      <c r="E83" s="22">
        <v>5</v>
      </c>
      <c r="F83" s="22">
        <v>2263.46</v>
      </c>
      <c r="G83" s="27">
        <v>0.05</v>
      </c>
    </row>
    <row r="84" spans="1:7" ht="14.25" customHeight="1" x14ac:dyDescent="0.3">
      <c r="A84" s="21" t="s">
        <v>270</v>
      </c>
      <c r="B84" s="22" t="s">
        <v>107</v>
      </c>
      <c r="C84" s="22" t="s">
        <v>94</v>
      </c>
      <c r="D84" s="22" t="s">
        <v>490</v>
      </c>
      <c r="E84" s="22">
        <v>2</v>
      </c>
      <c r="F84" s="22">
        <v>1128.26</v>
      </c>
      <c r="G84" s="27">
        <v>0</v>
      </c>
    </row>
    <row r="85" spans="1:7" ht="14.25" customHeight="1" x14ac:dyDescent="0.3">
      <c r="A85" s="21" t="s">
        <v>128</v>
      </c>
      <c r="B85" s="22" t="s">
        <v>129</v>
      </c>
      <c r="C85" s="22" t="s">
        <v>105</v>
      </c>
      <c r="D85" s="22" t="s">
        <v>491</v>
      </c>
      <c r="E85" s="22">
        <v>6</v>
      </c>
      <c r="F85" s="22">
        <v>454.59</v>
      </c>
      <c r="G85" s="27">
        <v>0.1</v>
      </c>
    </row>
    <row r="86" spans="1:7" ht="14.25" customHeight="1" x14ac:dyDescent="0.3">
      <c r="A86" s="21" t="s">
        <v>308</v>
      </c>
      <c r="B86" s="22" t="s">
        <v>199</v>
      </c>
      <c r="C86" s="22" t="s">
        <v>120</v>
      </c>
      <c r="D86" s="22" t="s">
        <v>492</v>
      </c>
      <c r="E86" s="22">
        <v>6</v>
      </c>
      <c r="F86" s="22">
        <v>1599.02</v>
      </c>
      <c r="G86" s="27">
        <v>0.05</v>
      </c>
    </row>
    <row r="87" spans="1:7" ht="14.25" customHeight="1" x14ac:dyDescent="0.3">
      <c r="A87" s="21" t="s">
        <v>162</v>
      </c>
      <c r="B87" s="22" t="s">
        <v>101</v>
      </c>
      <c r="C87" s="22" t="s">
        <v>163</v>
      </c>
      <c r="D87" s="22" t="s">
        <v>493</v>
      </c>
      <c r="E87" s="22">
        <v>7</v>
      </c>
      <c r="F87" s="22">
        <v>2045.55</v>
      </c>
      <c r="G87" s="27">
        <v>0</v>
      </c>
    </row>
    <row r="88" spans="1:7" ht="14.25" customHeight="1" x14ac:dyDescent="0.3">
      <c r="A88" s="21" t="s">
        <v>106</v>
      </c>
      <c r="B88" s="22" t="s">
        <v>107</v>
      </c>
      <c r="C88" s="22" t="s">
        <v>108</v>
      </c>
      <c r="D88" s="22" t="s">
        <v>494</v>
      </c>
      <c r="E88" s="22">
        <v>7</v>
      </c>
      <c r="F88" s="22">
        <v>954.5</v>
      </c>
      <c r="G88" s="27">
        <v>0.1</v>
      </c>
    </row>
    <row r="89" spans="1:7" ht="14.25" customHeight="1" x14ac:dyDescent="0.3">
      <c r="A89" s="21" t="s">
        <v>52</v>
      </c>
      <c r="B89" s="22" t="s">
        <v>53</v>
      </c>
      <c r="C89" s="22" t="s">
        <v>54</v>
      </c>
      <c r="D89" s="22" t="s">
        <v>495</v>
      </c>
      <c r="E89" s="22">
        <v>6</v>
      </c>
      <c r="F89" s="22"/>
      <c r="G89" s="27">
        <v>0.15</v>
      </c>
    </row>
    <row r="90" spans="1:7" ht="14.25" customHeight="1" x14ac:dyDescent="0.3">
      <c r="A90" s="21" t="s">
        <v>305</v>
      </c>
      <c r="B90" s="22" t="s">
        <v>76</v>
      </c>
      <c r="C90" s="22" t="s">
        <v>91</v>
      </c>
      <c r="D90" s="22" t="s">
        <v>496</v>
      </c>
      <c r="E90" s="22">
        <v>6</v>
      </c>
      <c r="F90" s="22">
        <v>3179.22</v>
      </c>
      <c r="G90" s="27">
        <v>0.05</v>
      </c>
    </row>
    <row r="91" spans="1:7" ht="14.25" customHeight="1" x14ac:dyDescent="0.3">
      <c r="A91" s="21" t="s">
        <v>315</v>
      </c>
      <c r="B91" s="22" t="s">
        <v>71</v>
      </c>
      <c r="C91" s="22" t="s">
        <v>54</v>
      </c>
      <c r="D91" s="22" t="s">
        <v>497</v>
      </c>
      <c r="E91" s="22">
        <v>1</v>
      </c>
      <c r="F91" s="22">
        <v>3409.06</v>
      </c>
      <c r="G91" s="27">
        <v>0</v>
      </c>
    </row>
    <row r="92" spans="1:7" ht="14.25" customHeight="1" x14ac:dyDescent="0.3">
      <c r="A92" s="21" t="s">
        <v>139</v>
      </c>
      <c r="B92" s="22" t="s">
        <v>53</v>
      </c>
      <c r="C92" s="22" t="s">
        <v>69</v>
      </c>
      <c r="D92" s="22" t="s">
        <v>498</v>
      </c>
      <c r="E92" s="22">
        <v>7</v>
      </c>
      <c r="F92" s="22">
        <v>940.09</v>
      </c>
      <c r="G92" s="27">
        <v>0.2</v>
      </c>
    </row>
    <row r="93" spans="1:7" ht="14.25" customHeight="1" x14ac:dyDescent="0.3">
      <c r="A93" s="21" t="s">
        <v>340</v>
      </c>
      <c r="B93" s="22" t="s">
        <v>205</v>
      </c>
      <c r="C93" s="22" t="s">
        <v>117</v>
      </c>
      <c r="D93" s="22" t="s">
        <v>468</v>
      </c>
      <c r="E93" s="22">
        <v>2</v>
      </c>
      <c r="F93" s="22">
        <v>1181.42</v>
      </c>
      <c r="G93" s="27">
        <v>0.15</v>
      </c>
    </row>
    <row r="94" spans="1:7" ht="14.25" customHeight="1" x14ac:dyDescent="0.3">
      <c r="A94" s="21" t="s">
        <v>248</v>
      </c>
      <c r="B94" s="22" t="s">
        <v>199</v>
      </c>
      <c r="C94" s="22" t="s">
        <v>163</v>
      </c>
      <c r="D94" s="22" t="s">
        <v>480</v>
      </c>
      <c r="E94" s="22">
        <v>1</v>
      </c>
      <c r="F94" s="22">
        <v>1724.08</v>
      </c>
      <c r="G94" s="27">
        <v>0</v>
      </c>
    </row>
    <row r="95" spans="1:7" ht="14.25" customHeight="1" x14ac:dyDescent="0.3">
      <c r="A95" s="21" t="s">
        <v>208</v>
      </c>
      <c r="B95" s="22" t="s">
        <v>79</v>
      </c>
      <c r="C95" s="22" t="s">
        <v>155</v>
      </c>
      <c r="D95" s="22" t="s">
        <v>499</v>
      </c>
      <c r="E95" s="22">
        <v>8</v>
      </c>
      <c r="F95" s="22">
        <v>1608.11</v>
      </c>
      <c r="G95" s="27">
        <v>0</v>
      </c>
    </row>
    <row r="96" spans="1:7" ht="14.25" customHeight="1" x14ac:dyDescent="0.3">
      <c r="A96" s="21" t="s">
        <v>282</v>
      </c>
      <c r="B96" s="22" t="s">
        <v>84</v>
      </c>
      <c r="C96" s="22" t="s">
        <v>163</v>
      </c>
      <c r="D96" s="22" t="s">
        <v>500</v>
      </c>
      <c r="E96" s="22">
        <v>5</v>
      </c>
      <c r="F96" s="22">
        <v>2028.02</v>
      </c>
      <c r="G96" s="27">
        <v>0.15</v>
      </c>
    </row>
    <row r="97" spans="1:7" ht="14.25" customHeight="1" x14ac:dyDescent="0.3">
      <c r="A97" s="21" t="s">
        <v>203</v>
      </c>
      <c r="B97" s="22" t="s">
        <v>79</v>
      </c>
      <c r="C97" s="22" t="s">
        <v>163</v>
      </c>
      <c r="D97" s="22" t="s">
        <v>481</v>
      </c>
      <c r="E97" s="22">
        <v>6</v>
      </c>
      <c r="F97" s="22">
        <v>1933.95</v>
      </c>
      <c r="G97" s="27">
        <v>0.1</v>
      </c>
    </row>
    <row r="98" spans="1:7" ht="14.25" customHeight="1" x14ac:dyDescent="0.3">
      <c r="A98" s="21" t="s">
        <v>317</v>
      </c>
      <c r="B98" s="22" t="s">
        <v>93</v>
      </c>
      <c r="C98" s="22" t="s">
        <v>131</v>
      </c>
      <c r="D98" s="22" t="s">
        <v>501</v>
      </c>
      <c r="E98" s="22">
        <v>1</v>
      </c>
      <c r="F98" s="22">
        <v>3321.49</v>
      </c>
      <c r="G98" s="27">
        <v>0.2</v>
      </c>
    </row>
    <row r="99" spans="1:7" ht="14.25" customHeight="1" x14ac:dyDescent="0.3">
      <c r="A99" s="21" t="s">
        <v>121</v>
      </c>
      <c r="B99" s="22" t="s">
        <v>68</v>
      </c>
      <c r="C99" s="22" t="s">
        <v>74</v>
      </c>
      <c r="D99" s="22" t="s">
        <v>502</v>
      </c>
      <c r="E99" s="22">
        <v>1</v>
      </c>
      <c r="F99" s="22">
        <v>285.17</v>
      </c>
      <c r="G99" s="27">
        <v>0.2</v>
      </c>
    </row>
    <row r="100" spans="1:7" ht="14.25" customHeight="1" x14ac:dyDescent="0.3">
      <c r="A100" s="21" t="s">
        <v>323</v>
      </c>
      <c r="B100" s="22" t="s">
        <v>116</v>
      </c>
      <c r="C100" s="22" t="s">
        <v>120</v>
      </c>
      <c r="D100" s="22" t="s">
        <v>503</v>
      </c>
      <c r="E100" s="22">
        <v>1</v>
      </c>
      <c r="F100" s="22">
        <v>1573.92</v>
      </c>
      <c r="G100" s="27">
        <v>0.05</v>
      </c>
    </row>
    <row r="101" spans="1:7" ht="14.25" customHeight="1" x14ac:dyDescent="0.3">
      <c r="A101" s="21" t="s">
        <v>267</v>
      </c>
      <c r="B101" s="22" t="s">
        <v>53</v>
      </c>
      <c r="C101" s="22" t="s">
        <v>97</v>
      </c>
      <c r="D101" s="22" t="s">
        <v>430</v>
      </c>
      <c r="E101" s="22">
        <v>7</v>
      </c>
      <c r="F101" s="22">
        <v>2017.38</v>
      </c>
      <c r="G101" s="27">
        <v>0</v>
      </c>
    </row>
    <row r="102" spans="1:7" ht="14.25" customHeight="1" x14ac:dyDescent="0.3">
      <c r="A102" s="21" t="s">
        <v>295</v>
      </c>
      <c r="B102" s="22" t="s">
        <v>123</v>
      </c>
      <c r="C102" s="22" t="s">
        <v>105</v>
      </c>
      <c r="D102" s="22" t="s">
        <v>504</v>
      </c>
      <c r="E102" s="22">
        <v>2</v>
      </c>
      <c r="F102" s="22">
        <v>445.66</v>
      </c>
      <c r="G102" s="27">
        <v>0.05</v>
      </c>
    </row>
    <row r="103" spans="1:7" ht="14.25" customHeight="1" x14ac:dyDescent="0.3">
      <c r="A103" s="21" t="s">
        <v>277</v>
      </c>
      <c r="B103" s="22" t="s">
        <v>62</v>
      </c>
      <c r="C103" s="22" t="s">
        <v>163</v>
      </c>
      <c r="D103" s="22" t="s">
        <v>483</v>
      </c>
      <c r="E103" s="22">
        <v>3</v>
      </c>
      <c r="F103" s="22">
        <v>1976.91</v>
      </c>
      <c r="G103" s="27">
        <v>0.1</v>
      </c>
    </row>
    <row r="104" spans="1:7" ht="14.25" customHeight="1" x14ac:dyDescent="0.3">
      <c r="A104" s="21" t="s">
        <v>357</v>
      </c>
      <c r="B104" s="22" t="s">
        <v>129</v>
      </c>
      <c r="C104" s="22" t="s">
        <v>80</v>
      </c>
      <c r="D104" s="22" t="s">
        <v>505</v>
      </c>
      <c r="E104" s="22">
        <v>3</v>
      </c>
      <c r="F104" s="22">
        <v>1925.07</v>
      </c>
      <c r="G104" s="27">
        <v>0.2</v>
      </c>
    </row>
    <row r="105" spans="1:7" ht="14.25" customHeight="1" x14ac:dyDescent="0.3">
      <c r="A105" s="21" t="s">
        <v>223</v>
      </c>
      <c r="B105" s="22" t="s">
        <v>93</v>
      </c>
      <c r="C105" s="22" t="s">
        <v>141</v>
      </c>
      <c r="D105" s="22" t="s">
        <v>506</v>
      </c>
      <c r="E105" s="22">
        <v>4</v>
      </c>
      <c r="F105" s="22">
        <v>2878.32</v>
      </c>
      <c r="G105" s="27">
        <v>0.15</v>
      </c>
    </row>
    <row r="106" spans="1:7" ht="14.25" customHeight="1" x14ac:dyDescent="0.3">
      <c r="A106" s="21" t="s">
        <v>291</v>
      </c>
      <c r="B106" s="22" t="s">
        <v>107</v>
      </c>
      <c r="C106" s="22" t="s">
        <v>80</v>
      </c>
      <c r="D106" s="22" t="s">
        <v>507</v>
      </c>
      <c r="E106" s="22">
        <v>1</v>
      </c>
      <c r="F106" s="22">
        <v>1969.69</v>
      </c>
      <c r="G106" s="27">
        <v>0</v>
      </c>
    </row>
    <row r="107" spans="1:7" ht="14.25" customHeight="1" x14ac:dyDescent="0.3">
      <c r="A107" s="21" t="s">
        <v>219</v>
      </c>
      <c r="B107" s="22" t="s">
        <v>205</v>
      </c>
      <c r="C107" s="22" t="s">
        <v>155</v>
      </c>
      <c r="D107" s="22" t="s">
        <v>486</v>
      </c>
      <c r="E107" s="22">
        <v>4</v>
      </c>
      <c r="F107" s="22">
        <v>1727.14</v>
      </c>
      <c r="G107" s="27">
        <v>0</v>
      </c>
    </row>
    <row r="108" spans="1:7" ht="14.25" customHeight="1" x14ac:dyDescent="0.3">
      <c r="A108" s="21" t="s">
        <v>118</v>
      </c>
      <c r="B108" s="22" t="s">
        <v>101</v>
      </c>
      <c r="C108" s="22" t="s">
        <v>94</v>
      </c>
      <c r="D108" s="22" t="s">
        <v>508</v>
      </c>
      <c r="E108" s="22">
        <v>5</v>
      </c>
      <c r="F108" s="22"/>
      <c r="G108" s="27">
        <v>0.2</v>
      </c>
    </row>
    <row r="109" spans="1:7" ht="14.25" customHeight="1" x14ac:dyDescent="0.3">
      <c r="A109" s="21" t="s">
        <v>170</v>
      </c>
      <c r="B109" s="22" t="s">
        <v>101</v>
      </c>
      <c r="C109" s="22" t="s">
        <v>69</v>
      </c>
      <c r="D109" s="22" t="s">
        <v>509</v>
      </c>
      <c r="E109" s="22">
        <v>8</v>
      </c>
      <c r="F109" s="22">
        <v>760.67</v>
      </c>
      <c r="G109" s="27">
        <v>0.2</v>
      </c>
    </row>
    <row r="110" spans="1:7" ht="14.25" customHeight="1" x14ac:dyDescent="0.3">
      <c r="A110" s="21" t="s">
        <v>58</v>
      </c>
      <c r="B110" s="22" t="s">
        <v>59</v>
      </c>
      <c r="C110" s="22" t="s">
        <v>60</v>
      </c>
      <c r="D110" s="22" t="s">
        <v>437</v>
      </c>
      <c r="E110" s="22">
        <v>2</v>
      </c>
      <c r="F110" s="22">
        <v>2508.38</v>
      </c>
      <c r="G110" s="27">
        <v>0</v>
      </c>
    </row>
    <row r="111" spans="1:7" ht="14.25" customHeight="1" x14ac:dyDescent="0.3">
      <c r="A111" s="21" t="s">
        <v>119</v>
      </c>
      <c r="B111" s="22" t="s">
        <v>93</v>
      </c>
      <c r="C111" s="22" t="s">
        <v>120</v>
      </c>
      <c r="D111" s="22" t="s">
        <v>510</v>
      </c>
      <c r="E111" s="22">
        <v>2</v>
      </c>
      <c r="F111" s="22">
        <v>1629.71</v>
      </c>
      <c r="G111" s="27">
        <v>0.2</v>
      </c>
    </row>
    <row r="112" spans="1:7" ht="14.25" customHeight="1" x14ac:dyDescent="0.3">
      <c r="A112" s="21" t="s">
        <v>226</v>
      </c>
      <c r="B112" s="22" t="s">
        <v>227</v>
      </c>
      <c r="C112" s="22" t="s">
        <v>105</v>
      </c>
      <c r="D112" s="22" t="s">
        <v>511</v>
      </c>
      <c r="E112" s="22">
        <v>6</v>
      </c>
      <c r="F112" s="22">
        <v>435.47</v>
      </c>
      <c r="G112" s="27">
        <v>0.2</v>
      </c>
    </row>
    <row r="113" spans="1:7" ht="14.25" customHeight="1" x14ac:dyDescent="0.3">
      <c r="A113" s="21" t="s">
        <v>111</v>
      </c>
      <c r="B113" s="22" t="s">
        <v>112</v>
      </c>
      <c r="C113" s="22" t="s">
        <v>66</v>
      </c>
      <c r="D113" s="22" t="s">
        <v>421</v>
      </c>
      <c r="E113" s="22">
        <v>3</v>
      </c>
      <c r="F113" s="22">
        <v>862.13</v>
      </c>
      <c r="G113" s="27">
        <v>0.15</v>
      </c>
    </row>
    <row r="114" spans="1:7" ht="14.25" customHeight="1" x14ac:dyDescent="0.3">
      <c r="A114" s="21" t="s">
        <v>213</v>
      </c>
      <c r="B114" s="22" t="s">
        <v>101</v>
      </c>
      <c r="C114" s="22" t="s">
        <v>117</v>
      </c>
      <c r="D114" s="22" t="s">
        <v>512</v>
      </c>
      <c r="E114" s="22">
        <v>4</v>
      </c>
      <c r="F114" s="22">
        <v>1223.07</v>
      </c>
      <c r="G114" s="27">
        <v>0.2</v>
      </c>
    </row>
    <row r="115" spans="1:7" ht="14.25" customHeight="1" x14ac:dyDescent="0.3">
      <c r="A115" s="21" t="s">
        <v>364</v>
      </c>
      <c r="B115" s="22" t="s">
        <v>153</v>
      </c>
      <c r="C115" s="22" t="s">
        <v>146</v>
      </c>
      <c r="D115" s="22" t="s">
        <v>426</v>
      </c>
      <c r="E115" s="22">
        <v>5</v>
      </c>
      <c r="F115" s="22">
        <v>279.81</v>
      </c>
      <c r="G115" s="27">
        <v>0</v>
      </c>
    </row>
    <row r="116" spans="1:7" ht="14.25" customHeight="1" x14ac:dyDescent="0.3">
      <c r="A116" s="21" t="s">
        <v>240</v>
      </c>
      <c r="B116" s="22" t="s">
        <v>110</v>
      </c>
      <c r="C116" s="22" t="s">
        <v>146</v>
      </c>
      <c r="D116" s="22" t="s">
        <v>513</v>
      </c>
      <c r="E116" s="22">
        <v>5</v>
      </c>
      <c r="F116" s="22">
        <v>274.16000000000003</v>
      </c>
      <c r="G116" s="27">
        <v>0.2</v>
      </c>
    </row>
    <row r="117" spans="1:7" ht="14.25" customHeight="1" x14ac:dyDescent="0.3">
      <c r="A117" s="21" t="s">
        <v>358</v>
      </c>
      <c r="B117" s="22" t="s">
        <v>129</v>
      </c>
      <c r="C117" s="22" t="s">
        <v>120</v>
      </c>
      <c r="D117" s="22" t="s">
        <v>505</v>
      </c>
      <c r="E117" s="22">
        <v>4</v>
      </c>
      <c r="F117" s="22">
        <v>1317.39</v>
      </c>
      <c r="G117" s="27">
        <v>0.2</v>
      </c>
    </row>
    <row r="118" spans="1:7" ht="14.25" customHeight="1" x14ac:dyDescent="0.3">
      <c r="A118" s="21" t="s">
        <v>257</v>
      </c>
      <c r="B118" s="22" t="s">
        <v>84</v>
      </c>
      <c r="C118" s="22" t="s">
        <v>80</v>
      </c>
      <c r="D118" s="22" t="s">
        <v>456</v>
      </c>
      <c r="E118" s="22">
        <v>2</v>
      </c>
      <c r="F118" s="22">
        <v>2103.92</v>
      </c>
      <c r="G118" s="27">
        <v>0.1</v>
      </c>
    </row>
    <row r="119" spans="1:7" ht="14.25" customHeight="1" x14ac:dyDescent="0.3">
      <c r="A119" s="21" t="s">
        <v>122</v>
      </c>
      <c r="B119" s="22" t="s">
        <v>123</v>
      </c>
      <c r="C119" s="22" t="s">
        <v>66</v>
      </c>
      <c r="D119" s="22" t="s">
        <v>439</v>
      </c>
      <c r="E119" s="22">
        <v>5</v>
      </c>
      <c r="F119" s="22">
        <v>877.88</v>
      </c>
      <c r="G119" s="27">
        <v>0.05</v>
      </c>
    </row>
    <row r="120" spans="1:7" ht="14.25" customHeight="1" x14ac:dyDescent="0.3">
      <c r="A120" s="21" t="s">
        <v>365</v>
      </c>
      <c r="B120" s="22" t="s">
        <v>79</v>
      </c>
      <c r="C120" s="22" t="s">
        <v>60</v>
      </c>
      <c r="D120" s="22" t="s">
        <v>514</v>
      </c>
      <c r="E120" s="22">
        <v>7</v>
      </c>
      <c r="F120" s="22">
        <v>2137.04</v>
      </c>
      <c r="G120" s="27">
        <v>0.05</v>
      </c>
    </row>
    <row r="121" spans="1:7" ht="14.25" customHeight="1" x14ac:dyDescent="0.3">
      <c r="A121" s="21" t="s">
        <v>356</v>
      </c>
      <c r="B121" s="22" t="s">
        <v>90</v>
      </c>
      <c r="C121" s="22" t="s">
        <v>91</v>
      </c>
      <c r="D121" s="22" t="s">
        <v>505</v>
      </c>
      <c r="E121" s="22">
        <v>4</v>
      </c>
      <c r="F121" s="22">
        <v>3574.12</v>
      </c>
      <c r="G121" s="27">
        <v>0.05</v>
      </c>
    </row>
    <row r="122" spans="1:7" ht="14.25" customHeight="1" x14ac:dyDescent="0.3">
      <c r="A122" s="21" t="s">
        <v>331</v>
      </c>
      <c r="B122" s="22" t="s">
        <v>144</v>
      </c>
      <c r="C122" s="22" t="s">
        <v>135</v>
      </c>
      <c r="D122" s="22" t="s">
        <v>515</v>
      </c>
      <c r="E122" s="22">
        <v>8</v>
      </c>
      <c r="F122" s="22">
        <v>164.3</v>
      </c>
      <c r="G122" s="27">
        <v>0</v>
      </c>
    </row>
    <row r="123" spans="1:7" ht="14.25" customHeight="1" x14ac:dyDescent="0.3">
      <c r="A123" s="21" t="s">
        <v>149</v>
      </c>
      <c r="B123" s="22" t="s">
        <v>59</v>
      </c>
      <c r="C123" s="22" t="s">
        <v>72</v>
      </c>
      <c r="D123" s="22" t="s">
        <v>516</v>
      </c>
      <c r="E123" s="22">
        <v>4</v>
      </c>
      <c r="F123" s="22">
        <v>2182.16</v>
      </c>
      <c r="G123" s="27">
        <v>0</v>
      </c>
    </row>
    <row r="124" spans="1:7" ht="14.25" customHeight="1" x14ac:dyDescent="0.3">
      <c r="A124" s="21" t="s">
        <v>179</v>
      </c>
      <c r="B124" s="22" t="s">
        <v>110</v>
      </c>
      <c r="C124" s="22" t="s">
        <v>163</v>
      </c>
      <c r="D124" s="22" t="s">
        <v>517</v>
      </c>
      <c r="E124" s="22">
        <v>2</v>
      </c>
      <c r="F124" s="22">
        <v>1946.31</v>
      </c>
      <c r="G124" s="27">
        <v>0.1</v>
      </c>
    </row>
    <row r="125" spans="1:7" ht="14.25" customHeight="1" x14ac:dyDescent="0.3">
      <c r="A125" s="21" t="s">
        <v>193</v>
      </c>
      <c r="B125" s="22" t="s">
        <v>84</v>
      </c>
      <c r="C125" s="22" t="s">
        <v>141</v>
      </c>
      <c r="D125" s="22" t="s">
        <v>518</v>
      </c>
      <c r="E125" s="22">
        <v>3</v>
      </c>
      <c r="F125" s="22">
        <v>2395.13</v>
      </c>
      <c r="G125" s="27">
        <v>0.2</v>
      </c>
    </row>
    <row r="126" spans="1:7" ht="14.25" customHeight="1" x14ac:dyDescent="0.3">
      <c r="A126" s="21" t="s">
        <v>152</v>
      </c>
      <c r="B126" s="22" t="s">
        <v>153</v>
      </c>
      <c r="C126" s="22" t="s">
        <v>117</v>
      </c>
      <c r="D126" s="22" t="s">
        <v>519</v>
      </c>
      <c r="E126" s="22">
        <v>8</v>
      </c>
      <c r="F126" s="22">
        <v>1589.75</v>
      </c>
      <c r="G126" s="27">
        <v>0</v>
      </c>
    </row>
    <row r="127" spans="1:7" ht="14.25" customHeight="1" x14ac:dyDescent="0.3">
      <c r="A127" s="21" t="s">
        <v>125</v>
      </c>
      <c r="B127" s="22" t="s">
        <v>59</v>
      </c>
      <c r="C127" s="22" t="s">
        <v>126</v>
      </c>
      <c r="D127" s="22" t="s">
        <v>439</v>
      </c>
      <c r="E127" s="22"/>
      <c r="F127" s="22">
        <v>1368.67</v>
      </c>
      <c r="G127" s="27">
        <v>0.05</v>
      </c>
    </row>
    <row r="128" spans="1:7" ht="14.25" customHeight="1" x14ac:dyDescent="0.3">
      <c r="A128" s="21" t="s">
        <v>280</v>
      </c>
      <c r="B128" s="22" t="s">
        <v>71</v>
      </c>
      <c r="C128" s="22" t="s">
        <v>72</v>
      </c>
      <c r="D128" s="22" t="s">
        <v>520</v>
      </c>
      <c r="E128" s="22">
        <v>6</v>
      </c>
      <c r="F128" s="22">
        <v>2348.29</v>
      </c>
      <c r="G128" s="27">
        <v>0.2</v>
      </c>
    </row>
    <row r="129" spans="1:7" ht="14.25" customHeight="1" x14ac:dyDescent="0.3">
      <c r="A129" s="21" t="s">
        <v>247</v>
      </c>
      <c r="B129" s="22" t="s">
        <v>88</v>
      </c>
      <c r="C129" s="22" t="s">
        <v>126</v>
      </c>
      <c r="D129" s="22" t="s">
        <v>521</v>
      </c>
      <c r="E129" s="22">
        <v>6</v>
      </c>
      <c r="F129" s="22">
        <v>1232.23</v>
      </c>
      <c r="G129" s="27">
        <v>0.05</v>
      </c>
    </row>
    <row r="130" spans="1:7" ht="14.25" customHeight="1" x14ac:dyDescent="0.3">
      <c r="A130" s="21" t="s">
        <v>324</v>
      </c>
      <c r="B130" s="22" t="s">
        <v>104</v>
      </c>
      <c r="C130" s="22" t="s">
        <v>155</v>
      </c>
      <c r="D130" s="22" t="s">
        <v>503</v>
      </c>
      <c r="E130" s="22">
        <v>8</v>
      </c>
      <c r="F130" s="22">
        <v>1742.84</v>
      </c>
      <c r="G130" s="27">
        <v>0</v>
      </c>
    </row>
    <row r="131" spans="1:7" ht="14.25" customHeight="1" x14ac:dyDescent="0.3">
      <c r="A131" s="21" t="s">
        <v>281</v>
      </c>
      <c r="B131" s="22" t="s">
        <v>84</v>
      </c>
      <c r="C131" s="22" t="s">
        <v>172</v>
      </c>
      <c r="D131" s="22" t="s">
        <v>500</v>
      </c>
      <c r="E131" s="22">
        <v>3</v>
      </c>
      <c r="F131" s="22">
        <v>2028.34</v>
      </c>
      <c r="G131" s="27">
        <v>0.05</v>
      </c>
    </row>
    <row r="132" spans="1:7" ht="14.25" customHeight="1" x14ac:dyDescent="0.3">
      <c r="A132" s="21" t="s">
        <v>137</v>
      </c>
      <c r="B132" s="22" t="s">
        <v>59</v>
      </c>
      <c r="C132" s="22" t="s">
        <v>69</v>
      </c>
      <c r="D132" s="22" t="s">
        <v>522</v>
      </c>
      <c r="E132" s="22">
        <v>5</v>
      </c>
      <c r="F132" s="22">
        <v>821.87</v>
      </c>
      <c r="G132" s="27">
        <v>0.05</v>
      </c>
    </row>
    <row r="133" spans="1:7" ht="14.25" customHeight="1" x14ac:dyDescent="0.3">
      <c r="A133" s="21" t="s">
        <v>214</v>
      </c>
      <c r="B133" s="22" t="s">
        <v>205</v>
      </c>
      <c r="C133" s="22" t="s">
        <v>117</v>
      </c>
      <c r="D133" s="22" t="s">
        <v>451</v>
      </c>
      <c r="E133" s="22">
        <v>8</v>
      </c>
      <c r="F133" s="22">
        <v>1296.83</v>
      </c>
      <c r="G133" s="27">
        <v>0.2</v>
      </c>
    </row>
    <row r="134" spans="1:7" ht="14.25" customHeight="1" x14ac:dyDescent="0.3">
      <c r="A134" s="21" t="s">
        <v>283</v>
      </c>
      <c r="B134" s="22" t="s">
        <v>107</v>
      </c>
      <c r="C134" s="22" t="s">
        <v>60</v>
      </c>
      <c r="D134" s="22" t="s">
        <v>523</v>
      </c>
      <c r="E134" s="22">
        <v>1</v>
      </c>
      <c r="F134" s="22">
        <v>2239.12</v>
      </c>
      <c r="G134" s="27">
        <v>0.2</v>
      </c>
    </row>
    <row r="135" spans="1:7" ht="14.25" customHeight="1" x14ac:dyDescent="0.3">
      <c r="A135" s="21" t="s">
        <v>113</v>
      </c>
      <c r="B135" s="22" t="s">
        <v>56</v>
      </c>
      <c r="C135" s="22" t="s">
        <v>86</v>
      </c>
      <c r="D135" s="22" t="s">
        <v>524</v>
      </c>
      <c r="E135" s="22">
        <v>4</v>
      </c>
      <c r="F135" s="22">
        <v>3282.87</v>
      </c>
      <c r="G135" s="27">
        <v>0</v>
      </c>
    </row>
    <row r="136" spans="1:7" ht="14.25" customHeight="1" x14ac:dyDescent="0.3">
      <c r="A136" s="21" t="s">
        <v>264</v>
      </c>
      <c r="B136" s="22" t="s">
        <v>123</v>
      </c>
      <c r="C136" s="22" t="s">
        <v>54</v>
      </c>
      <c r="D136" s="22" t="s">
        <v>525</v>
      </c>
      <c r="E136" s="22">
        <v>1</v>
      </c>
      <c r="F136" s="22">
        <v>3111.63</v>
      </c>
      <c r="G136" s="27">
        <v>0</v>
      </c>
    </row>
    <row r="137" spans="1:7" ht="14.25" customHeight="1" x14ac:dyDescent="0.3">
      <c r="A137" s="21" t="s">
        <v>352</v>
      </c>
      <c r="B137" s="22" t="s">
        <v>112</v>
      </c>
      <c r="C137" s="22" t="s">
        <v>82</v>
      </c>
      <c r="D137" s="22" t="s">
        <v>526</v>
      </c>
      <c r="E137" s="22">
        <v>3</v>
      </c>
      <c r="F137" s="22">
        <v>3227.51</v>
      </c>
      <c r="G137" s="27">
        <v>0.15</v>
      </c>
    </row>
    <row r="138" spans="1:7" ht="14.25" customHeight="1" x14ac:dyDescent="0.3">
      <c r="A138" s="21" t="s">
        <v>237</v>
      </c>
      <c r="B138" s="22" t="s">
        <v>116</v>
      </c>
      <c r="C138" s="22" t="s">
        <v>172</v>
      </c>
      <c r="D138" s="22" t="s">
        <v>424</v>
      </c>
      <c r="E138" s="22">
        <v>2</v>
      </c>
      <c r="F138" s="22">
        <v>2752.74</v>
      </c>
      <c r="G138" s="27">
        <v>0</v>
      </c>
    </row>
    <row r="139" spans="1:7" ht="14.25" customHeight="1" x14ac:dyDescent="0.3">
      <c r="A139" s="21" t="s">
        <v>191</v>
      </c>
      <c r="B139" s="22" t="s">
        <v>79</v>
      </c>
      <c r="C139" s="22" t="s">
        <v>57</v>
      </c>
      <c r="D139" s="22" t="s">
        <v>527</v>
      </c>
      <c r="E139" s="22">
        <v>2</v>
      </c>
      <c r="F139" s="22">
        <v>1667.94</v>
      </c>
      <c r="G139" s="27">
        <v>0.05</v>
      </c>
    </row>
    <row r="140" spans="1:7" ht="14.25" customHeight="1" x14ac:dyDescent="0.3">
      <c r="A140" s="21" t="s">
        <v>306</v>
      </c>
      <c r="B140" s="22" t="s">
        <v>153</v>
      </c>
      <c r="C140" s="22" t="s">
        <v>131</v>
      </c>
      <c r="D140" s="22" t="s">
        <v>496</v>
      </c>
      <c r="E140" s="22">
        <v>1</v>
      </c>
      <c r="F140" s="22">
        <v>2930.28</v>
      </c>
      <c r="G140" s="27">
        <v>0</v>
      </c>
    </row>
    <row r="141" spans="1:7" ht="14.25" customHeight="1" x14ac:dyDescent="0.3">
      <c r="A141" s="21" t="s">
        <v>252</v>
      </c>
      <c r="B141" s="22" t="s">
        <v>227</v>
      </c>
      <c r="C141" s="22" t="s">
        <v>105</v>
      </c>
      <c r="D141" s="22" t="s">
        <v>528</v>
      </c>
      <c r="E141" s="22">
        <v>8</v>
      </c>
      <c r="F141" s="22">
        <v>461.62</v>
      </c>
      <c r="G141" s="27">
        <v>0</v>
      </c>
    </row>
    <row r="142" spans="1:7" ht="14.25" customHeight="1" x14ac:dyDescent="0.3">
      <c r="A142" s="21" t="s">
        <v>192</v>
      </c>
      <c r="B142" s="22" t="s">
        <v>53</v>
      </c>
      <c r="C142" s="22" t="s">
        <v>177</v>
      </c>
      <c r="D142" s="22" t="s">
        <v>518</v>
      </c>
      <c r="E142" s="22">
        <v>4</v>
      </c>
      <c r="F142" s="22">
        <v>1260.3599999999999</v>
      </c>
      <c r="G142" s="27">
        <v>0</v>
      </c>
    </row>
    <row r="143" spans="1:7" ht="14.25" customHeight="1" x14ac:dyDescent="0.3">
      <c r="A143" s="21" t="s">
        <v>276</v>
      </c>
      <c r="B143" s="22" t="s">
        <v>76</v>
      </c>
      <c r="C143" s="22" t="s">
        <v>69</v>
      </c>
      <c r="D143" s="22" t="s">
        <v>428</v>
      </c>
      <c r="E143" s="22">
        <v>7</v>
      </c>
      <c r="F143" s="22">
        <v>816.71</v>
      </c>
      <c r="G143" s="27">
        <v>0</v>
      </c>
    </row>
    <row r="144" spans="1:7" ht="14.25" customHeight="1" x14ac:dyDescent="0.3">
      <c r="A144" s="21" t="s">
        <v>286</v>
      </c>
      <c r="B144" s="22" t="s">
        <v>205</v>
      </c>
      <c r="C144" s="22" t="s">
        <v>94</v>
      </c>
      <c r="D144" s="22" t="s">
        <v>529</v>
      </c>
      <c r="E144" s="22">
        <v>2</v>
      </c>
      <c r="F144" s="22">
        <v>864.37</v>
      </c>
      <c r="G144" s="27">
        <v>0</v>
      </c>
    </row>
    <row r="145" spans="1:7" ht="14.25" customHeight="1" x14ac:dyDescent="0.3">
      <c r="A145" s="21" t="s">
        <v>182</v>
      </c>
      <c r="B145" s="22" t="s">
        <v>59</v>
      </c>
      <c r="C145" s="22" t="s">
        <v>54</v>
      </c>
      <c r="D145" s="22" t="s">
        <v>530</v>
      </c>
      <c r="E145" s="22">
        <v>2</v>
      </c>
      <c r="F145" s="22">
        <v>3571.53</v>
      </c>
      <c r="G145" s="27">
        <v>0.2</v>
      </c>
    </row>
    <row r="146" spans="1:7" ht="14.25" customHeight="1" x14ac:dyDescent="0.3">
      <c r="A146" s="21" t="s">
        <v>180</v>
      </c>
      <c r="B146" s="22" t="s">
        <v>84</v>
      </c>
      <c r="C146" s="22" t="s">
        <v>131</v>
      </c>
      <c r="D146" s="22" t="s">
        <v>517</v>
      </c>
      <c r="E146" s="22">
        <v>7</v>
      </c>
      <c r="F146" s="22">
        <v>3429.08</v>
      </c>
      <c r="G146" s="27">
        <v>0.2</v>
      </c>
    </row>
    <row r="147" spans="1:7" ht="14.25" customHeight="1" x14ac:dyDescent="0.3">
      <c r="A147" s="21" t="s">
        <v>159</v>
      </c>
      <c r="B147" s="22" t="s">
        <v>104</v>
      </c>
      <c r="C147" s="22" t="s">
        <v>80</v>
      </c>
      <c r="D147" s="22" t="s">
        <v>531</v>
      </c>
      <c r="E147" s="22">
        <v>8</v>
      </c>
      <c r="F147" s="22">
        <v>1865.78</v>
      </c>
      <c r="G147" s="27">
        <v>0.2</v>
      </c>
    </row>
    <row r="148" spans="1:7" ht="14.25" customHeight="1" x14ac:dyDescent="0.3">
      <c r="A148" s="21" t="s">
        <v>291</v>
      </c>
      <c r="B148" s="22" t="s">
        <v>107</v>
      </c>
      <c r="C148" s="22" t="s">
        <v>80</v>
      </c>
      <c r="D148" s="22" t="s">
        <v>507</v>
      </c>
      <c r="E148" s="22">
        <v>1</v>
      </c>
      <c r="F148" s="22">
        <v>1969.69</v>
      </c>
      <c r="G148" s="27">
        <v>0</v>
      </c>
    </row>
    <row r="149" spans="1:7" ht="14.25" customHeight="1" x14ac:dyDescent="0.3">
      <c r="A149" s="21" t="s">
        <v>232</v>
      </c>
      <c r="B149" s="22" t="s">
        <v>88</v>
      </c>
      <c r="C149" s="22" t="s">
        <v>77</v>
      </c>
      <c r="D149" s="22" t="s">
        <v>449</v>
      </c>
      <c r="E149" s="22">
        <v>6</v>
      </c>
      <c r="F149" s="22">
        <v>482.92</v>
      </c>
      <c r="G149" s="27">
        <v>0.1</v>
      </c>
    </row>
    <row r="150" spans="1:7" ht="14.25" customHeight="1" x14ac:dyDescent="0.3">
      <c r="A150" s="21" t="s">
        <v>171</v>
      </c>
      <c r="B150" s="22" t="s">
        <v>129</v>
      </c>
      <c r="C150" s="22" t="s">
        <v>172</v>
      </c>
      <c r="D150" s="22" t="s">
        <v>532</v>
      </c>
      <c r="E150" s="22">
        <v>2</v>
      </c>
      <c r="F150" s="22">
        <v>2452.37</v>
      </c>
      <c r="G150" s="27"/>
    </row>
    <row r="151" spans="1:7" ht="14.25" customHeight="1" x14ac:dyDescent="0.3">
      <c r="A151" s="21" t="s">
        <v>206</v>
      </c>
      <c r="B151" s="22" t="s">
        <v>56</v>
      </c>
      <c r="C151" s="22" t="s">
        <v>57</v>
      </c>
      <c r="D151" s="22" t="s">
        <v>533</v>
      </c>
      <c r="E151" s="22">
        <v>8</v>
      </c>
      <c r="F151" s="22">
        <v>1499.62</v>
      </c>
      <c r="G151" s="27">
        <v>0.05</v>
      </c>
    </row>
    <row r="152" spans="1:7" ht="14.25" customHeight="1" x14ac:dyDescent="0.3">
      <c r="A152" s="21" t="s">
        <v>310</v>
      </c>
      <c r="B152" s="22" t="s">
        <v>84</v>
      </c>
      <c r="C152" s="22" t="s">
        <v>135</v>
      </c>
      <c r="D152" s="22" t="s">
        <v>534</v>
      </c>
      <c r="E152" s="22">
        <v>4</v>
      </c>
      <c r="F152" s="22">
        <v>127.27</v>
      </c>
      <c r="G152" s="27">
        <v>0.2</v>
      </c>
    </row>
    <row r="153" spans="1:7" ht="14.25" customHeight="1" x14ac:dyDescent="0.3">
      <c r="A153" s="21" t="s">
        <v>327</v>
      </c>
      <c r="B153" s="22" t="s">
        <v>123</v>
      </c>
      <c r="C153" s="22" t="s">
        <v>69</v>
      </c>
      <c r="D153" s="22" t="s">
        <v>535</v>
      </c>
      <c r="E153" s="22">
        <v>5</v>
      </c>
      <c r="F153" s="22">
        <v>709.48</v>
      </c>
      <c r="G153" s="27">
        <v>0</v>
      </c>
    </row>
    <row r="154" spans="1:7" ht="14.25" customHeight="1" x14ac:dyDescent="0.3">
      <c r="A154" s="21" t="s">
        <v>58</v>
      </c>
      <c r="B154" s="22" t="s">
        <v>59</v>
      </c>
      <c r="C154" s="22" t="s">
        <v>60</v>
      </c>
      <c r="D154" s="22" t="s">
        <v>437</v>
      </c>
      <c r="E154" s="22">
        <v>5</v>
      </c>
      <c r="F154" s="22">
        <v>2508.38</v>
      </c>
      <c r="G154" s="27">
        <v>0</v>
      </c>
    </row>
    <row r="155" spans="1:7" ht="14.25" customHeight="1" x14ac:dyDescent="0.3">
      <c r="A155" s="21" t="s">
        <v>114</v>
      </c>
      <c r="B155" s="22" t="s">
        <v>96</v>
      </c>
      <c r="C155" s="22" t="s">
        <v>82</v>
      </c>
      <c r="D155" s="22" t="s">
        <v>524</v>
      </c>
      <c r="E155" s="22">
        <v>5</v>
      </c>
      <c r="F155" s="22">
        <v>2946.61</v>
      </c>
      <c r="G155" s="27">
        <v>0.1</v>
      </c>
    </row>
    <row r="156" spans="1:7" ht="14.25" customHeight="1" x14ac:dyDescent="0.3">
      <c r="A156" s="21" t="s">
        <v>284</v>
      </c>
      <c r="B156" s="22" t="s">
        <v>65</v>
      </c>
      <c r="C156" s="22" t="s">
        <v>80</v>
      </c>
      <c r="D156" s="22" t="s">
        <v>472</v>
      </c>
      <c r="E156" s="22">
        <v>3</v>
      </c>
      <c r="F156" s="22">
        <v>2007.03</v>
      </c>
      <c r="G156" s="27">
        <v>0</v>
      </c>
    </row>
    <row r="157" spans="1:7" ht="14.25" customHeight="1" x14ac:dyDescent="0.3">
      <c r="A157" s="21" t="s">
        <v>236</v>
      </c>
      <c r="B157" s="22" t="s">
        <v>65</v>
      </c>
      <c r="C157" s="22" t="s">
        <v>63</v>
      </c>
      <c r="D157" s="22" t="s">
        <v>424</v>
      </c>
      <c r="E157" s="22">
        <v>5</v>
      </c>
      <c r="F157" s="22">
        <v>906.85</v>
      </c>
      <c r="G157" s="27">
        <v>0</v>
      </c>
    </row>
    <row r="158" spans="1:7" ht="14.25" customHeight="1" x14ac:dyDescent="0.3">
      <c r="A158" s="21" t="s">
        <v>326</v>
      </c>
      <c r="B158" s="22" t="s">
        <v>71</v>
      </c>
      <c r="C158" s="22" t="s">
        <v>97</v>
      </c>
      <c r="D158" s="22" t="s">
        <v>536</v>
      </c>
      <c r="E158" s="22">
        <v>3</v>
      </c>
      <c r="F158" s="22"/>
      <c r="G158" s="27">
        <v>0.15</v>
      </c>
    </row>
    <row r="159" spans="1:7" ht="14.25" customHeight="1" x14ac:dyDescent="0.3">
      <c r="A159" s="21" t="s">
        <v>195</v>
      </c>
      <c r="B159" s="22" t="s">
        <v>65</v>
      </c>
      <c r="C159" s="22" t="s">
        <v>91</v>
      </c>
      <c r="D159" s="22" t="s">
        <v>537</v>
      </c>
      <c r="E159" s="22">
        <v>3</v>
      </c>
      <c r="F159" s="22">
        <v>3349.66</v>
      </c>
      <c r="G159" s="27">
        <v>0</v>
      </c>
    </row>
    <row r="160" spans="1:7" ht="14.25" customHeight="1" x14ac:dyDescent="0.3">
      <c r="A160" s="21" t="s">
        <v>348</v>
      </c>
      <c r="B160" s="22" t="s">
        <v>227</v>
      </c>
      <c r="C160" s="22" t="s">
        <v>172</v>
      </c>
      <c r="D160" s="22" t="s">
        <v>538</v>
      </c>
      <c r="E160" s="22">
        <v>7</v>
      </c>
      <c r="F160" s="22">
        <v>2664.91</v>
      </c>
      <c r="G160" s="27">
        <v>0.15</v>
      </c>
    </row>
    <row r="161" spans="1:7" ht="14.25" customHeight="1" x14ac:dyDescent="0.3">
      <c r="A161" s="21" t="s">
        <v>318</v>
      </c>
      <c r="B161" s="22" t="s">
        <v>123</v>
      </c>
      <c r="C161" s="22" t="s">
        <v>177</v>
      </c>
      <c r="D161" s="22" t="s">
        <v>539</v>
      </c>
      <c r="E161" s="22">
        <v>8</v>
      </c>
      <c r="F161" s="22">
        <v>1611.02</v>
      </c>
      <c r="G161" s="27">
        <v>0.05</v>
      </c>
    </row>
    <row r="162" spans="1:7" ht="14.25" customHeight="1" x14ac:dyDescent="0.3">
      <c r="A162" s="21" t="s">
        <v>184</v>
      </c>
      <c r="B162" s="22" t="s">
        <v>68</v>
      </c>
      <c r="C162" s="22" t="s">
        <v>102</v>
      </c>
      <c r="D162" s="22" t="s">
        <v>540</v>
      </c>
      <c r="E162" s="22">
        <v>7</v>
      </c>
      <c r="F162" s="22">
        <v>1535.8</v>
      </c>
      <c r="G162" s="27">
        <v>0.15</v>
      </c>
    </row>
    <row r="163" spans="1:7" ht="14.25" customHeight="1" x14ac:dyDescent="0.3">
      <c r="A163" s="21" t="s">
        <v>275</v>
      </c>
      <c r="B163" s="22" t="s">
        <v>158</v>
      </c>
      <c r="C163" s="22" t="s">
        <v>177</v>
      </c>
      <c r="D163" s="22" t="s">
        <v>428</v>
      </c>
      <c r="E163" s="22">
        <v>7</v>
      </c>
      <c r="F163" s="22">
        <v>1250.24</v>
      </c>
      <c r="G163" s="27">
        <v>0.15</v>
      </c>
    </row>
    <row r="164" spans="1:7" ht="14.25" customHeight="1" x14ac:dyDescent="0.3">
      <c r="A164" s="21" t="s">
        <v>130</v>
      </c>
      <c r="B164" s="22" t="s">
        <v>93</v>
      </c>
      <c r="C164" s="22" t="s">
        <v>131</v>
      </c>
      <c r="D164" s="22" t="s">
        <v>541</v>
      </c>
      <c r="E164" s="22">
        <v>7</v>
      </c>
      <c r="F164" s="22">
        <v>2700.57</v>
      </c>
      <c r="G164" s="27">
        <v>0.2</v>
      </c>
    </row>
    <row r="165" spans="1:7" ht="14.25" customHeight="1" x14ac:dyDescent="0.3">
      <c r="A165" s="21" t="s">
        <v>226</v>
      </c>
      <c r="B165" s="22" t="s">
        <v>227</v>
      </c>
      <c r="C165" s="22" t="s">
        <v>105</v>
      </c>
      <c r="D165" s="22" t="s">
        <v>511</v>
      </c>
      <c r="E165" s="22">
        <v>6</v>
      </c>
      <c r="F165" s="22">
        <v>435.47</v>
      </c>
      <c r="G165" s="27">
        <v>0.2</v>
      </c>
    </row>
    <row r="166" spans="1:7" ht="14.25" customHeight="1" x14ac:dyDescent="0.3">
      <c r="A166" s="21" t="s">
        <v>81</v>
      </c>
      <c r="B166" s="22" t="s">
        <v>76</v>
      </c>
      <c r="C166" s="22" t="s">
        <v>82</v>
      </c>
      <c r="D166" s="22" t="s">
        <v>542</v>
      </c>
      <c r="E166" s="22">
        <v>6</v>
      </c>
      <c r="F166" s="22">
        <v>2810.89</v>
      </c>
      <c r="G166" s="27">
        <v>0.05</v>
      </c>
    </row>
    <row r="167" spans="1:7" ht="14.25" customHeight="1" x14ac:dyDescent="0.3">
      <c r="A167" s="21" t="s">
        <v>183</v>
      </c>
      <c r="B167" s="22" t="s">
        <v>90</v>
      </c>
      <c r="C167" s="22" t="s">
        <v>135</v>
      </c>
      <c r="D167" s="22" t="s">
        <v>530</v>
      </c>
      <c r="E167" s="22">
        <v>6</v>
      </c>
      <c r="F167" s="22">
        <v>134.57</v>
      </c>
      <c r="G167" s="27">
        <v>0</v>
      </c>
    </row>
    <row r="168" spans="1:7" ht="14.25" customHeight="1" x14ac:dyDescent="0.3">
      <c r="A168" s="21" t="s">
        <v>289</v>
      </c>
      <c r="B168" s="22" t="s">
        <v>68</v>
      </c>
      <c r="C168" s="22" t="s">
        <v>102</v>
      </c>
      <c r="D168" s="22" t="s">
        <v>466</v>
      </c>
      <c r="E168" s="22">
        <v>1</v>
      </c>
      <c r="F168" s="22">
        <v>2067.0500000000002</v>
      </c>
      <c r="G168" s="27">
        <v>0</v>
      </c>
    </row>
    <row r="169" spans="1:7" ht="14.25" customHeight="1" x14ac:dyDescent="0.3">
      <c r="A169" s="21" t="s">
        <v>225</v>
      </c>
      <c r="B169" s="22" t="s">
        <v>158</v>
      </c>
      <c r="C169" s="22" t="s">
        <v>120</v>
      </c>
      <c r="D169" s="22" t="s">
        <v>543</v>
      </c>
      <c r="E169" s="22">
        <v>2</v>
      </c>
      <c r="F169" s="22">
        <v>1700.24</v>
      </c>
      <c r="G169" s="27">
        <v>0.05</v>
      </c>
    </row>
    <row r="170" spans="1:7" ht="14.25" customHeight="1" x14ac:dyDescent="0.3">
      <c r="A170" s="21" t="s">
        <v>347</v>
      </c>
      <c r="B170" s="22" t="s">
        <v>161</v>
      </c>
      <c r="C170" s="22" t="s">
        <v>141</v>
      </c>
      <c r="D170" s="22" t="s">
        <v>544</v>
      </c>
      <c r="E170" s="22">
        <v>8</v>
      </c>
      <c r="F170" s="22">
        <v>2435.4499999999998</v>
      </c>
      <c r="G170" s="27">
        <v>0</v>
      </c>
    </row>
    <row r="171" spans="1:7" ht="14.25" customHeight="1" x14ac:dyDescent="0.3">
      <c r="A171" s="21" t="s">
        <v>151</v>
      </c>
      <c r="B171" s="22" t="s">
        <v>129</v>
      </c>
      <c r="C171" s="22" t="s">
        <v>66</v>
      </c>
      <c r="D171" s="22" t="s">
        <v>519</v>
      </c>
      <c r="E171" s="22">
        <v>4</v>
      </c>
      <c r="F171" s="22">
        <v>895.03</v>
      </c>
      <c r="G171" s="27"/>
    </row>
    <row r="172" spans="1:7" ht="14.25" customHeight="1" x14ac:dyDescent="0.3">
      <c r="A172" s="21" t="s">
        <v>196</v>
      </c>
      <c r="B172" s="22" t="s">
        <v>88</v>
      </c>
      <c r="C172" s="22" t="s">
        <v>97</v>
      </c>
      <c r="D172" s="22" t="s">
        <v>545</v>
      </c>
      <c r="E172" s="22">
        <v>7</v>
      </c>
      <c r="F172" s="22">
        <v>2278.5500000000002</v>
      </c>
      <c r="G172" s="27">
        <v>0.1</v>
      </c>
    </row>
    <row r="173" spans="1:7" ht="14.25" customHeight="1" x14ac:dyDescent="0.3">
      <c r="A173" s="21" t="s">
        <v>169</v>
      </c>
      <c r="B173" s="22" t="s">
        <v>93</v>
      </c>
      <c r="C173" s="22" t="s">
        <v>82</v>
      </c>
      <c r="D173" s="22" t="s">
        <v>546</v>
      </c>
      <c r="E173" s="22">
        <v>5</v>
      </c>
      <c r="F173" s="22">
        <v>2629.42</v>
      </c>
      <c r="G173" s="27">
        <v>0.1</v>
      </c>
    </row>
    <row r="174" spans="1:7" ht="14.25" customHeight="1" x14ac:dyDescent="0.3">
      <c r="A174" s="21" t="s">
        <v>243</v>
      </c>
      <c r="B174" s="22" t="s">
        <v>79</v>
      </c>
      <c r="C174" s="22" t="s">
        <v>86</v>
      </c>
      <c r="D174" s="22" t="s">
        <v>547</v>
      </c>
      <c r="E174" s="22">
        <v>7</v>
      </c>
      <c r="F174" s="22">
        <v>3031.52</v>
      </c>
      <c r="G174" s="27">
        <v>0.1</v>
      </c>
    </row>
    <row r="175" spans="1:7" ht="14.25" customHeight="1" x14ac:dyDescent="0.3">
      <c r="A175" s="21" t="s">
        <v>118</v>
      </c>
      <c r="B175" s="22" t="s">
        <v>101</v>
      </c>
      <c r="C175" s="22" t="s">
        <v>94</v>
      </c>
      <c r="D175" s="22" t="s">
        <v>508</v>
      </c>
      <c r="E175" s="22">
        <v>8</v>
      </c>
      <c r="F175" s="22"/>
      <c r="G175" s="27">
        <v>0.2</v>
      </c>
    </row>
    <row r="176" spans="1:7" ht="14.25" customHeight="1" x14ac:dyDescent="0.3">
      <c r="A176" s="21" t="s">
        <v>337</v>
      </c>
      <c r="B176" s="22" t="s">
        <v>110</v>
      </c>
      <c r="C176" s="22" t="s">
        <v>131</v>
      </c>
      <c r="D176" s="22" t="s">
        <v>436</v>
      </c>
      <c r="E176" s="22">
        <v>2</v>
      </c>
      <c r="F176" s="22">
        <v>2919.43</v>
      </c>
      <c r="G176" s="27">
        <v>0.15</v>
      </c>
    </row>
    <row r="177" spans="1:7" ht="14.25" customHeight="1" x14ac:dyDescent="0.3">
      <c r="A177" s="21" t="s">
        <v>345</v>
      </c>
      <c r="B177" s="22" t="s">
        <v>84</v>
      </c>
      <c r="C177" s="22" t="s">
        <v>120</v>
      </c>
      <c r="D177" s="22" t="s">
        <v>548</v>
      </c>
      <c r="E177" s="22">
        <v>7</v>
      </c>
      <c r="F177" s="22">
        <v>1301.3699999999999</v>
      </c>
      <c r="G177" s="27">
        <v>0.15</v>
      </c>
    </row>
    <row r="178" spans="1:7" ht="14.25" customHeight="1" x14ac:dyDescent="0.3">
      <c r="A178" s="21" t="s">
        <v>364</v>
      </c>
      <c r="B178" s="22" t="s">
        <v>153</v>
      </c>
      <c r="C178" s="22" t="s">
        <v>146</v>
      </c>
      <c r="D178" s="22" t="s">
        <v>426</v>
      </c>
      <c r="E178" s="22">
        <v>5</v>
      </c>
      <c r="F178" s="22">
        <v>279.81</v>
      </c>
      <c r="G178" s="27">
        <v>0</v>
      </c>
    </row>
    <row r="179" spans="1:7" ht="14.25" customHeight="1" x14ac:dyDescent="0.3">
      <c r="A179" s="21" t="s">
        <v>319</v>
      </c>
      <c r="B179" s="22" t="s">
        <v>88</v>
      </c>
      <c r="C179" s="22" t="s">
        <v>108</v>
      </c>
      <c r="D179" s="22" t="s">
        <v>539</v>
      </c>
      <c r="E179" s="22">
        <v>4</v>
      </c>
      <c r="F179" s="22">
        <v>1085.1099999999999</v>
      </c>
      <c r="G179" s="27">
        <v>0</v>
      </c>
    </row>
    <row r="180" spans="1:7" ht="14.25" customHeight="1" x14ac:dyDescent="0.3">
      <c r="A180" s="21" t="s">
        <v>354</v>
      </c>
      <c r="B180" s="22" t="s">
        <v>79</v>
      </c>
      <c r="C180" s="22" t="s">
        <v>172</v>
      </c>
      <c r="D180" s="22" t="s">
        <v>549</v>
      </c>
      <c r="E180" s="22">
        <v>2</v>
      </c>
      <c r="F180" s="22">
        <v>2608.9699999999998</v>
      </c>
      <c r="G180" s="27">
        <v>0.1</v>
      </c>
    </row>
    <row r="181" spans="1:7" ht="14.25" customHeight="1" x14ac:dyDescent="0.3">
      <c r="A181" s="21" t="s">
        <v>360</v>
      </c>
      <c r="B181" s="22" t="s">
        <v>205</v>
      </c>
      <c r="C181" s="22" t="s">
        <v>91</v>
      </c>
      <c r="D181" s="22" t="s">
        <v>550</v>
      </c>
      <c r="E181" s="22">
        <v>7</v>
      </c>
      <c r="F181" s="22">
        <v>3436.77</v>
      </c>
      <c r="G181" s="27">
        <v>0.15</v>
      </c>
    </row>
    <row r="182" spans="1:7" ht="14.25" customHeight="1" x14ac:dyDescent="0.3">
      <c r="A182" s="21" t="s">
        <v>329</v>
      </c>
      <c r="B182" s="22" t="s">
        <v>59</v>
      </c>
      <c r="C182" s="22" t="s">
        <v>82</v>
      </c>
      <c r="D182" s="22" t="s">
        <v>551</v>
      </c>
      <c r="E182" s="22">
        <v>8</v>
      </c>
      <c r="F182" s="22">
        <v>3061.9</v>
      </c>
      <c r="G182" s="27">
        <v>0.2</v>
      </c>
    </row>
    <row r="183" spans="1:7" ht="14.25" customHeight="1" x14ac:dyDescent="0.3">
      <c r="A183" s="21" t="s">
        <v>297</v>
      </c>
      <c r="B183" s="22" t="s">
        <v>129</v>
      </c>
      <c r="C183" s="22" t="s">
        <v>131</v>
      </c>
      <c r="D183" s="22" t="s">
        <v>552</v>
      </c>
      <c r="E183" s="22">
        <v>3</v>
      </c>
      <c r="F183" s="22">
        <v>2612.5300000000002</v>
      </c>
      <c r="G183" s="27">
        <v>0.05</v>
      </c>
    </row>
    <row r="184" spans="1:7" ht="14.25" customHeight="1" x14ac:dyDescent="0.3">
      <c r="A184" s="21" t="s">
        <v>247</v>
      </c>
      <c r="B184" s="22" t="s">
        <v>88</v>
      </c>
      <c r="C184" s="22" t="s">
        <v>126</v>
      </c>
      <c r="D184" s="22" t="s">
        <v>521</v>
      </c>
      <c r="E184" s="22">
        <v>1</v>
      </c>
      <c r="F184" s="22">
        <v>1232.23</v>
      </c>
      <c r="G184" s="27">
        <v>0.05</v>
      </c>
    </row>
    <row r="185" spans="1:7" ht="14.25" customHeight="1" x14ac:dyDescent="0.3">
      <c r="A185" s="21" t="s">
        <v>218</v>
      </c>
      <c r="B185" s="22" t="s">
        <v>59</v>
      </c>
      <c r="C185" s="22" t="s">
        <v>54</v>
      </c>
      <c r="D185" s="22" t="s">
        <v>553</v>
      </c>
      <c r="E185" s="22">
        <v>8</v>
      </c>
      <c r="F185" s="22">
        <v>2671.62</v>
      </c>
      <c r="G185" s="27">
        <v>0</v>
      </c>
    </row>
    <row r="186" spans="1:7" ht="14.25" customHeight="1" x14ac:dyDescent="0.3">
      <c r="A186" s="21" t="s">
        <v>298</v>
      </c>
      <c r="B186" s="22" t="s">
        <v>168</v>
      </c>
      <c r="C186" s="22" t="s">
        <v>99</v>
      </c>
      <c r="D186" s="22" t="s">
        <v>554</v>
      </c>
      <c r="E186" s="22">
        <v>6</v>
      </c>
      <c r="F186" s="22">
        <v>3916.87</v>
      </c>
      <c r="G186" s="27">
        <v>0</v>
      </c>
    </row>
    <row r="187" spans="1:7" ht="14.25" customHeight="1" x14ac:dyDescent="0.3">
      <c r="A187" s="21" t="s">
        <v>100</v>
      </c>
      <c r="B187" s="22" t="s">
        <v>101</v>
      </c>
      <c r="C187" s="22" t="s">
        <v>102</v>
      </c>
      <c r="D187" s="22" t="s">
        <v>555</v>
      </c>
      <c r="E187" s="22">
        <v>3</v>
      </c>
      <c r="F187" s="22">
        <v>1733.93</v>
      </c>
      <c r="G187" s="27">
        <v>0.05</v>
      </c>
    </row>
    <row r="188" spans="1:7" ht="14.25" customHeight="1" x14ac:dyDescent="0.3">
      <c r="A188" s="21" t="s">
        <v>207</v>
      </c>
      <c r="B188" s="22" t="s">
        <v>53</v>
      </c>
      <c r="C188" s="22" t="s">
        <v>69</v>
      </c>
      <c r="D188" s="22" t="s">
        <v>556</v>
      </c>
      <c r="E188" s="22">
        <v>5</v>
      </c>
      <c r="F188" s="22">
        <v>855.13</v>
      </c>
      <c r="G188" s="27">
        <v>0.1</v>
      </c>
    </row>
    <row r="189" spans="1:7" ht="14.25" customHeight="1" x14ac:dyDescent="0.3">
      <c r="A189" s="21" t="s">
        <v>304</v>
      </c>
      <c r="B189" s="22" t="s">
        <v>104</v>
      </c>
      <c r="C189" s="22" t="s">
        <v>72</v>
      </c>
      <c r="D189" s="22" t="s">
        <v>557</v>
      </c>
      <c r="E189" s="22">
        <v>5</v>
      </c>
      <c r="F189" s="22">
        <v>2599.88</v>
      </c>
      <c r="G189" s="27">
        <v>0.2</v>
      </c>
    </row>
    <row r="190" spans="1:7" ht="14.25" customHeight="1" x14ac:dyDescent="0.3">
      <c r="A190" s="21" t="s">
        <v>175</v>
      </c>
      <c r="B190" s="22" t="s">
        <v>110</v>
      </c>
      <c r="C190" s="22" t="s">
        <v>131</v>
      </c>
      <c r="D190" s="22" t="s">
        <v>558</v>
      </c>
      <c r="E190" s="22">
        <v>4</v>
      </c>
      <c r="F190" s="22">
        <v>2745.16</v>
      </c>
      <c r="G190" s="27">
        <v>0</v>
      </c>
    </row>
    <row r="191" spans="1:7" ht="14.25" customHeight="1" x14ac:dyDescent="0.3">
      <c r="A191" s="21" t="s">
        <v>319</v>
      </c>
      <c r="B191" s="22" t="s">
        <v>88</v>
      </c>
      <c r="C191" s="22" t="s">
        <v>108</v>
      </c>
      <c r="D191" s="22" t="s">
        <v>539</v>
      </c>
      <c r="E191" s="22">
        <v>4</v>
      </c>
      <c r="F191" s="22">
        <v>1085.1099999999999</v>
      </c>
      <c r="G191" s="27">
        <v>0</v>
      </c>
    </row>
    <row r="192" spans="1:7" ht="14.25" customHeight="1" x14ac:dyDescent="0.3">
      <c r="A192" s="21" t="s">
        <v>217</v>
      </c>
      <c r="B192" s="22" t="s">
        <v>116</v>
      </c>
      <c r="C192" s="22" t="s">
        <v>99</v>
      </c>
      <c r="D192" s="22" t="s">
        <v>553</v>
      </c>
      <c r="E192" s="22">
        <v>4</v>
      </c>
      <c r="F192" s="22">
        <v>3768.18</v>
      </c>
      <c r="G192" s="27">
        <v>0</v>
      </c>
    </row>
    <row r="193" spans="1:7" ht="14.25" customHeight="1" x14ac:dyDescent="0.3">
      <c r="A193" s="21" t="s">
        <v>274</v>
      </c>
      <c r="B193" s="22" t="s">
        <v>71</v>
      </c>
      <c r="C193" s="22" t="s">
        <v>63</v>
      </c>
      <c r="D193" s="22" t="s">
        <v>428</v>
      </c>
      <c r="E193" s="22">
        <v>2</v>
      </c>
      <c r="F193" s="22">
        <v>1044.2</v>
      </c>
      <c r="G193" s="27">
        <v>0.15</v>
      </c>
    </row>
    <row r="194" spans="1:7" ht="14.25" customHeight="1" x14ac:dyDescent="0.3">
      <c r="A194" s="21" t="s">
        <v>87</v>
      </c>
      <c r="B194" s="22" t="s">
        <v>88</v>
      </c>
      <c r="C194" s="22" t="s">
        <v>63</v>
      </c>
      <c r="D194" s="22" t="s">
        <v>559</v>
      </c>
      <c r="E194" s="22">
        <v>1</v>
      </c>
      <c r="F194" s="22">
        <v>1143.56</v>
      </c>
      <c r="G194" s="27">
        <v>0.2</v>
      </c>
    </row>
    <row r="195" spans="1:7" ht="14.25" customHeight="1" x14ac:dyDescent="0.3">
      <c r="A195" s="21" t="s">
        <v>211</v>
      </c>
      <c r="B195" s="22" t="s">
        <v>59</v>
      </c>
      <c r="C195" s="22" t="s">
        <v>105</v>
      </c>
      <c r="D195" s="22" t="s">
        <v>560</v>
      </c>
      <c r="E195" s="22">
        <v>2</v>
      </c>
      <c r="F195" s="22">
        <v>399.68</v>
      </c>
      <c r="G195" s="27">
        <v>0</v>
      </c>
    </row>
    <row r="196" spans="1:7" ht="14.25" customHeight="1" x14ac:dyDescent="0.3">
      <c r="A196" s="21" t="s">
        <v>368</v>
      </c>
      <c r="B196" s="22" t="s">
        <v>205</v>
      </c>
      <c r="C196" s="22" t="s">
        <v>120</v>
      </c>
      <c r="D196" s="22"/>
      <c r="E196" s="22">
        <v>6</v>
      </c>
      <c r="F196" s="22">
        <v>1730.24</v>
      </c>
      <c r="G196" s="27">
        <v>0</v>
      </c>
    </row>
    <row r="197" spans="1:7" ht="14.25" customHeight="1" x14ac:dyDescent="0.3">
      <c r="A197" s="21" t="s">
        <v>166</v>
      </c>
      <c r="B197" s="22" t="s">
        <v>144</v>
      </c>
      <c r="C197" s="22" t="s">
        <v>163</v>
      </c>
      <c r="D197" s="22" t="s">
        <v>561</v>
      </c>
      <c r="E197" s="22">
        <v>2</v>
      </c>
      <c r="F197" s="22">
        <v>1824.19</v>
      </c>
      <c r="G197" s="27">
        <v>0.05</v>
      </c>
    </row>
    <row r="198" spans="1:7" ht="14.25" customHeight="1" x14ac:dyDescent="0.3">
      <c r="A198" s="21" t="s">
        <v>132</v>
      </c>
      <c r="B198" s="22" t="s">
        <v>101</v>
      </c>
      <c r="C198" s="22" t="s">
        <v>77</v>
      </c>
      <c r="D198" s="22" t="s">
        <v>541</v>
      </c>
      <c r="E198" s="22">
        <v>4</v>
      </c>
      <c r="F198" s="22">
        <v>456.42</v>
      </c>
      <c r="G198" s="27">
        <v>0</v>
      </c>
    </row>
    <row r="199" spans="1:7" ht="14.25" customHeight="1" x14ac:dyDescent="0.3">
      <c r="A199" s="21" t="s">
        <v>315</v>
      </c>
      <c r="B199" s="22" t="s">
        <v>71</v>
      </c>
      <c r="C199" s="22" t="s">
        <v>54</v>
      </c>
      <c r="D199" s="22" t="s">
        <v>497</v>
      </c>
      <c r="E199" s="22">
        <v>1</v>
      </c>
      <c r="F199" s="22">
        <v>3409.06</v>
      </c>
      <c r="G199" s="27">
        <v>0</v>
      </c>
    </row>
    <row r="200" spans="1:7" ht="14.25" customHeight="1" x14ac:dyDescent="0.3">
      <c r="A200" s="21" t="s">
        <v>311</v>
      </c>
      <c r="B200" s="22" t="s">
        <v>205</v>
      </c>
      <c r="C200" s="22" t="s">
        <v>72</v>
      </c>
      <c r="D200" s="22" t="s">
        <v>562</v>
      </c>
      <c r="E200" s="22">
        <v>1</v>
      </c>
      <c r="F200" s="22">
        <v>2918.29</v>
      </c>
      <c r="G200" s="27">
        <v>0.15</v>
      </c>
    </row>
    <row r="201" spans="1:7" ht="14.25" customHeight="1" x14ac:dyDescent="0.3">
      <c r="A201" s="21" t="s">
        <v>70</v>
      </c>
      <c r="B201" s="22" t="s">
        <v>71</v>
      </c>
      <c r="C201" s="22" t="s">
        <v>72</v>
      </c>
      <c r="D201" s="22" t="s">
        <v>563</v>
      </c>
      <c r="E201" s="22">
        <v>3</v>
      </c>
      <c r="F201" s="22">
        <v>2293.59</v>
      </c>
      <c r="G201" s="27">
        <v>0.05</v>
      </c>
    </row>
    <row r="202" spans="1:7" ht="14.25" customHeight="1" x14ac:dyDescent="0.3">
      <c r="A202" s="21" t="s">
        <v>61</v>
      </c>
      <c r="B202" s="22" t="s">
        <v>62</v>
      </c>
      <c r="C202" s="22" t="s">
        <v>63</v>
      </c>
      <c r="D202" s="22" t="s">
        <v>564</v>
      </c>
      <c r="E202" s="22">
        <v>5</v>
      </c>
      <c r="F202" s="22">
        <v>981.46</v>
      </c>
      <c r="G202" s="27">
        <v>0.05</v>
      </c>
    </row>
    <row r="203" spans="1:7" ht="14.25" customHeight="1" x14ac:dyDescent="0.3">
      <c r="A203" s="21" t="s">
        <v>369</v>
      </c>
      <c r="B203" s="22" t="s">
        <v>62</v>
      </c>
      <c r="C203" s="22" t="s">
        <v>155</v>
      </c>
      <c r="D203" s="22"/>
      <c r="E203" s="22">
        <v>7</v>
      </c>
      <c r="F203" s="22">
        <v>2169.64</v>
      </c>
      <c r="G203" s="27">
        <v>0.2</v>
      </c>
    </row>
    <row r="204" spans="1:7" ht="14.25" customHeight="1" x14ac:dyDescent="0.3">
      <c r="A204" s="21" t="s">
        <v>293</v>
      </c>
      <c r="B204" s="22" t="s">
        <v>96</v>
      </c>
      <c r="C204" s="22" t="s">
        <v>57</v>
      </c>
      <c r="D204" s="22" t="s">
        <v>565</v>
      </c>
      <c r="E204" s="22">
        <v>4</v>
      </c>
      <c r="F204" s="22">
        <v>1518.16</v>
      </c>
      <c r="G204" s="27">
        <v>0.05</v>
      </c>
    </row>
    <row r="205" spans="1:7" ht="14.25" customHeight="1" x14ac:dyDescent="0.3">
      <c r="A205" s="21" t="s">
        <v>167</v>
      </c>
      <c r="B205" s="22" t="s">
        <v>168</v>
      </c>
      <c r="C205" s="22" t="s">
        <v>99</v>
      </c>
      <c r="D205" s="22" t="s">
        <v>566</v>
      </c>
      <c r="E205" s="22">
        <v>5</v>
      </c>
      <c r="F205" s="22">
        <v>3319.32</v>
      </c>
      <c r="G205" s="27">
        <v>0.2</v>
      </c>
    </row>
    <row r="206" spans="1:7" ht="14.25" customHeight="1" x14ac:dyDescent="0.3">
      <c r="A206" s="21" t="s">
        <v>300</v>
      </c>
      <c r="B206" s="22" t="s">
        <v>110</v>
      </c>
      <c r="C206" s="22" t="s">
        <v>57</v>
      </c>
      <c r="D206" s="22" t="s">
        <v>567</v>
      </c>
      <c r="E206" s="22">
        <v>4</v>
      </c>
      <c r="F206" s="22">
        <v>1639.98</v>
      </c>
      <c r="G206" s="27">
        <v>0</v>
      </c>
    </row>
    <row r="207" spans="1:7" ht="14.25" customHeight="1" x14ac:dyDescent="0.3">
      <c r="A207" s="21" t="s">
        <v>127</v>
      </c>
      <c r="B207" s="22" t="s">
        <v>88</v>
      </c>
      <c r="C207" s="22" t="s">
        <v>105</v>
      </c>
      <c r="D207" s="22" t="s">
        <v>568</v>
      </c>
      <c r="E207" s="22">
        <v>4</v>
      </c>
      <c r="F207" s="22">
        <v>478.95</v>
      </c>
      <c r="G207" s="27">
        <v>0</v>
      </c>
    </row>
    <row r="208" spans="1:7" ht="14.25" customHeight="1" x14ac:dyDescent="0.3">
      <c r="A208" s="21" t="s">
        <v>271</v>
      </c>
      <c r="B208" s="22" t="s">
        <v>90</v>
      </c>
      <c r="C208" s="22" t="s">
        <v>120</v>
      </c>
      <c r="D208" s="22" t="s">
        <v>569</v>
      </c>
      <c r="E208" s="22">
        <v>6</v>
      </c>
      <c r="F208" s="22">
        <v>1695.31</v>
      </c>
      <c r="G208" s="27">
        <v>0.15</v>
      </c>
    </row>
    <row r="209" spans="1:7" ht="14.25" customHeight="1" x14ac:dyDescent="0.3">
      <c r="A209" s="21" t="s">
        <v>133</v>
      </c>
      <c r="B209" s="22" t="s">
        <v>129</v>
      </c>
      <c r="C209" s="22" t="s">
        <v>105</v>
      </c>
      <c r="D209" s="22" t="s">
        <v>541</v>
      </c>
      <c r="E209" s="22">
        <v>4</v>
      </c>
      <c r="F209" s="22">
        <v>403.82</v>
      </c>
      <c r="G209" s="27">
        <v>0.05</v>
      </c>
    </row>
    <row r="210" spans="1:7" ht="14.25" customHeight="1" x14ac:dyDescent="0.3">
      <c r="A210" s="21" t="s">
        <v>201</v>
      </c>
      <c r="B210" s="22" t="s">
        <v>123</v>
      </c>
      <c r="C210" s="22" t="s">
        <v>120</v>
      </c>
      <c r="D210" s="22" t="s">
        <v>570</v>
      </c>
      <c r="E210" s="22">
        <v>6</v>
      </c>
      <c r="F210" s="22">
        <v>1689.1</v>
      </c>
      <c r="G210" s="27">
        <v>0.2</v>
      </c>
    </row>
    <row r="211" spans="1:7" ht="14.25" customHeight="1" x14ac:dyDescent="0.3">
      <c r="A211" s="21" t="s">
        <v>334</v>
      </c>
      <c r="B211" s="22" t="s">
        <v>56</v>
      </c>
      <c r="C211" s="22" t="s">
        <v>82</v>
      </c>
      <c r="D211" s="22" t="s">
        <v>571</v>
      </c>
      <c r="E211" s="22">
        <v>4</v>
      </c>
      <c r="F211" s="22">
        <v>3021.61</v>
      </c>
      <c r="G211" s="27">
        <v>0.1</v>
      </c>
    </row>
    <row r="212" spans="1:7" ht="14.25" customHeight="1" x14ac:dyDescent="0.3">
      <c r="A212" s="21" t="s">
        <v>330</v>
      </c>
      <c r="B212" s="22" t="s">
        <v>112</v>
      </c>
      <c r="C212" s="22" t="s">
        <v>74</v>
      </c>
      <c r="D212" s="22" t="s">
        <v>515</v>
      </c>
      <c r="E212" s="22">
        <v>4</v>
      </c>
      <c r="F212" s="22">
        <v>350.39</v>
      </c>
      <c r="G212" s="27">
        <v>0.05</v>
      </c>
    </row>
    <row r="213" spans="1:7" ht="14.25" customHeight="1" x14ac:dyDescent="0.3">
      <c r="A213" s="21" t="s">
        <v>164</v>
      </c>
      <c r="B213" s="22" t="s">
        <v>90</v>
      </c>
      <c r="C213" s="22" t="s">
        <v>86</v>
      </c>
      <c r="D213" s="22" t="s">
        <v>493</v>
      </c>
      <c r="E213" s="22">
        <v>2</v>
      </c>
      <c r="F213" s="22">
        <v>3741.08</v>
      </c>
      <c r="G213" s="27">
        <v>0</v>
      </c>
    </row>
    <row r="214" spans="1:7" ht="14.25" customHeight="1" x14ac:dyDescent="0.3">
      <c r="A214" s="21" t="s">
        <v>83</v>
      </c>
      <c r="B214" s="22" t="s">
        <v>84</v>
      </c>
      <c r="C214" s="22" t="s">
        <v>54</v>
      </c>
      <c r="D214" s="22" t="s">
        <v>572</v>
      </c>
      <c r="E214" s="22">
        <v>5</v>
      </c>
      <c r="F214" s="22">
        <v>3664.93</v>
      </c>
      <c r="G214" s="27">
        <v>0</v>
      </c>
    </row>
    <row r="215" spans="1:7" ht="14.25" customHeight="1" x14ac:dyDescent="0.3">
      <c r="A215" s="21" t="s">
        <v>261</v>
      </c>
      <c r="B215" s="22" t="s">
        <v>68</v>
      </c>
      <c r="C215" s="22" t="s">
        <v>163</v>
      </c>
      <c r="D215" s="22" t="s">
        <v>573</v>
      </c>
      <c r="E215" s="22">
        <v>1</v>
      </c>
      <c r="F215" s="22">
        <v>2128.52</v>
      </c>
      <c r="G215" s="27">
        <v>0.15</v>
      </c>
    </row>
    <row r="216" spans="1:7" ht="14.25" customHeight="1" x14ac:dyDescent="0.3">
      <c r="A216" s="21" t="s">
        <v>136</v>
      </c>
      <c r="B216" s="22" t="s">
        <v>59</v>
      </c>
      <c r="C216" s="22" t="s">
        <v>86</v>
      </c>
      <c r="D216" s="22" t="s">
        <v>475</v>
      </c>
      <c r="E216" s="22">
        <v>4</v>
      </c>
      <c r="F216" s="22">
        <v>3397.29</v>
      </c>
      <c r="G216" s="27">
        <v>0.1</v>
      </c>
    </row>
    <row r="217" spans="1:7" ht="14.25" customHeight="1" x14ac:dyDescent="0.3">
      <c r="A217" s="21" t="s">
        <v>299</v>
      </c>
      <c r="B217" s="22" t="s">
        <v>96</v>
      </c>
      <c r="C217" s="22" t="s">
        <v>63</v>
      </c>
      <c r="D217" s="22" t="s">
        <v>554</v>
      </c>
      <c r="E217" s="22">
        <v>3</v>
      </c>
      <c r="F217" s="22">
        <v>891.31</v>
      </c>
      <c r="G217" s="27">
        <v>0.15</v>
      </c>
    </row>
    <row r="218" spans="1:7" ht="14.25" customHeight="1" x14ac:dyDescent="0.3">
      <c r="A218" s="21" t="s">
        <v>138</v>
      </c>
      <c r="B218" s="22" t="s">
        <v>90</v>
      </c>
      <c r="C218" s="22" t="s">
        <v>60</v>
      </c>
      <c r="D218" s="22" t="s">
        <v>574</v>
      </c>
      <c r="E218" s="22">
        <v>6</v>
      </c>
      <c r="F218" s="22">
        <v>2147.42</v>
      </c>
      <c r="G218" s="27">
        <v>0</v>
      </c>
    </row>
    <row r="219" spans="1:7" ht="14.25" customHeight="1" x14ac:dyDescent="0.3">
      <c r="A219" s="21" t="s">
        <v>254</v>
      </c>
      <c r="B219" s="22" t="s">
        <v>144</v>
      </c>
      <c r="C219" s="22" t="s">
        <v>69</v>
      </c>
      <c r="D219" s="22" t="s">
        <v>528</v>
      </c>
      <c r="E219" s="22"/>
      <c r="F219" s="22">
        <v>781.59</v>
      </c>
      <c r="G219" s="27">
        <v>0.05</v>
      </c>
    </row>
    <row r="220" spans="1:7" ht="14.25" customHeight="1" x14ac:dyDescent="0.3">
      <c r="A220" s="21" t="s">
        <v>241</v>
      </c>
      <c r="B220" s="22" t="s">
        <v>96</v>
      </c>
      <c r="C220" s="22" t="s">
        <v>97</v>
      </c>
      <c r="D220" s="22" t="s">
        <v>575</v>
      </c>
      <c r="E220" s="22">
        <v>5</v>
      </c>
      <c r="F220" s="22">
        <v>2121.4</v>
      </c>
      <c r="G220" s="27">
        <v>0.2</v>
      </c>
    </row>
    <row r="221" spans="1:7" ht="14.25" customHeight="1" x14ac:dyDescent="0.3">
      <c r="A221" s="21" t="s">
        <v>115</v>
      </c>
      <c r="B221" s="22" t="s">
        <v>116</v>
      </c>
      <c r="C221" s="22" t="s">
        <v>117</v>
      </c>
      <c r="D221" s="22" t="s">
        <v>524</v>
      </c>
      <c r="E221" s="22">
        <v>1</v>
      </c>
      <c r="F221" s="22">
        <v>1494.65</v>
      </c>
      <c r="G221" s="27">
        <v>0</v>
      </c>
    </row>
    <row r="222" spans="1:7" ht="14.25" customHeight="1" x14ac:dyDescent="0.3">
      <c r="A222" s="21" t="s">
        <v>185</v>
      </c>
      <c r="B222" s="22" t="s">
        <v>84</v>
      </c>
      <c r="C222" s="22" t="s">
        <v>94</v>
      </c>
      <c r="D222" s="22" t="s">
        <v>576</v>
      </c>
      <c r="E222" s="22">
        <v>3</v>
      </c>
      <c r="F222" s="22">
        <v>1153.3800000000001</v>
      </c>
      <c r="G222" s="27">
        <v>0.2</v>
      </c>
    </row>
    <row r="223" spans="1:7" ht="14.25" customHeight="1" x14ac:dyDescent="0.3">
      <c r="A223" s="21" t="s">
        <v>67</v>
      </c>
      <c r="B223" s="22" t="s">
        <v>68</v>
      </c>
      <c r="C223" s="22" t="s">
        <v>69</v>
      </c>
      <c r="D223" s="22" t="s">
        <v>577</v>
      </c>
      <c r="E223" s="22">
        <v>3</v>
      </c>
      <c r="F223" s="22">
        <v>775.31</v>
      </c>
      <c r="G223" s="27">
        <v>0</v>
      </c>
    </row>
    <row r="224" spans="1:7" ht="14.25" customHeight="1" x14ac:dyDescent="0.3">
      <c r="A224" s="21" t="s">
        <v>181</v>
      </c>
      <c r="B224" s="22" t="s">
        <v>71</v>
      </c>
      <c r="C224" s="22" t="s">
        <v>177</v>
      </c>
      <c r="D224" s="22" t="s">
        <v>578</v>
      </c>
      <c r="E224" s="22">
        <v>6</v>
      </c>
      <c r="F224" s="22">
        <v>1288.04</v>
      </c>
      <c r="G224" s="27">
        <v>0</v>
      </c>
    </row>
    <row r="225" spans="1:7" ht="14.25" customHeight="1" x14ac:dyDescent="0.3">
      <c r="A225" s="21" t="s">
        <v>325</v>
      </c>
      <c r="B225" s="22" t="s">
        <v>199</v>
      </c>
      <c r="C225" s="22" t="s">
        <v>177</v>
      </c>
      <c r="D225" s="22" t="s">
        <v>579</v>
      </c>
      <c r="E225" s="22">
        <v>5</v>
      </c>
      <c r="F225" s="22">
        <v>1369.14</v>
      </c>
      <c r="G225" s="27">
        <v>0.1</v>
      </c>
    </row>
    <row r="226" spans="1:7" ht="14.25" customHeight="1" x14ac:dyDescent="0.3">
      <c r="A226" s="21" t="s">
        <v>262</v>
      </c>
      <c r="B226" s="22" t="s">
        <v>65</v>
      </c>
      <c r="C226" s="22" t="s">
        <v>77</v>
      </c>
      <c r="D226" s="22" t="s">
        <v>580</v>
      </c>
      <c r="E226" s="22">
        <v>3</v>
      </c>
      <c r="F226" s="22">
        <v>417.23</v>
      </c>
      <c r="G226" s="27">
        <v>0.1</v>
      </c>
    </row>
    <row r="227" spans="1:7" ht="14.25" customHeight="1" x14ac:dyDescent="0.3">
      <c r="A227" s="21" t="s">
        <v>338</v>
      </c>
      <c r="B227" s="22" t="s">
        <v>68</v>
      </c>
      <c r="C227" s="22" t="s">
        <v>105</v>
      </c>
      <c r="D227" s="22" t="s">
        <v>423</v>
      </c>
      <c r="E227" s="22">
        <v>8</v>
      </c>
      <c r="F227" s="22">
        <v>475.82</v>
      </c>
      <c r="G227" s="27">
        <v>0.05</v>
      </c>
    </row>
    <row r="228" spans="1:7" ht="14.25" customHeight="1" x14ac:dyDescent="0.3">
      <c r="A228" s="21" t="s">
        <v>224</v>
      </c>
      <c r="B228" s="22" t="s">
        <v>205</v>
      </c>
      <c r="C228" s="22" t="s">
        <v>94</v>
      </c>
      <c r="D228" s="22" t="s">
        <v>543</v>
      </c>
      <c r="E228" s="22">
        <v>6</v>
      </c>
      <c r="F228" s="22">
        <v>1051.22</v>
      </c>
      <c r="G228" s="27">
        <v>0</v>
      </c>
    </row>
    <row r="229" spans="1:7" ht="14.25" customHeight="1" x14ac:dyDescent="0.3">
      <c r="A229" s="21" t="s">
        <v>150</v>
      </c>
      <c r="B229" s="22" t="s">
        <v>116</v>
      </c>
      <c r="C229" s="22" t="s">
        <v>117</v>
      </c>
      <c r="D229" s="22" t="s">
        <v>581</v>
      </c>
      <c r="E229" s="22">
        <v>5</v>
      </c>
      <c r="F229" s="22">
        <v>1527.34</v>
      </c>
      <c r="G229" s="27">
        <v>0</v>
      </c>
    </row>
    <row r="230" spans="1:7" ht="14.25" customHeight="1" x14ac:dyDescent="0.3">
      <c r="A230" s="21" t="s">
        <v>313</v>
      </c>
      <c r="B230" s="22" t="s">
        <v>110</v>
      </c>
      <c r="C230" s="22" t="s">
        <v>102</v>
      </c>
      <c r="D230" s="22" t="s">
        <v>582</v>
      </c>
      <c r="E230" s="22">
        <v>4</v>
      </c>
      <c r="F230" s="22">
        <v>1660.52</v>
      </c>
      <c r="G230" s="27">
        <v>0.15</v>
      </c>
    </row>
    <row r="231" spans="1:7" ht="14.25" customHeight="1" x14ac:dyDescent="0.3">
      <c r="A231" s="21" t="s">
        <v>176</v>
      </c>
      <c r="B231" s="22" t="s">
        <v>129</v>
      </c>
      <c r="C231" s="22" t="s">
        <v>177</v>
      </c>
      <c r="D231" s="22" t="s">
        <v>583</v>
      </c>
      <c r="E231" s="22">
        <v>7</v>
      </c>
      <c r="F231" s="22">
        <v>1529.33</v>
      </c>
      <c r="G231" s="27">
        <v>0</v>
      </c>
    </row>
    <row r="232" spans="1:7" ht="14.25" customHeight="1" x14ac:dyDescent="0.3">
      <c r="A232" s="21" t="s">
        <v>301</v>
      </c>
      <c r="B232" s="22" t="s">
        <v>110</v>
      </c>
      <c r="C232" s="22" t="s">
        <v>163</v>
      </c>
      <c r="D232" s="22" t="s">
        <v>567</v>
      </c>
      <c r="E232" s="22">
        <v>3</v>
      </c>
      <c r="F232" s="22">
        <v>1980.31</v>
      </c>
      <c r="G232" s="27">
        <v>0</v>
      </c>
    </row>
    <row r="233" spans="1:7" ht="14.25" customHeight="1" x14ac:dyDescent="0.3">
      <c r="A233" s="21" t="s">
        <v>194</v>
      </c>
      <c r="B233" s="22" t="s">
        <v>153</v>
      </c>
      <c r="C233" s="22" t="s">
        <v>97</v>
      </c>
      <c r="D233" s="22" t="s">
        <v>584</v>
      </c>
      <c r="E233" s="22">
        <v>8</v>
      </c>
      <c r="F233" s="22">
        <v>2280.5</v>
      </c>
      <c r="G233" s="27">
        <v>0</v>
      </c>
    </row>
    <row r="234" spans="1:7" ht="14.25" customHeight="1" x14ac:dyDescent="0.3">
      <c r="A234" s="21" t="s">
        <v>312</v>
      </c>
      <c r="B234" s="22" t="s">
        <v>101</v>
      </c>
      <c r="C234" s="22" t="s">
        <v>69</v>
      </c>
      <c r="D234" s="22" t="s">
        <v>562</v>
      </c>
      <c r="E234" s="22">
        <v>5</v>
      </c>
      <c r="F234" s="22">
        <v>859.97</v>
      </c>
      <c r="G234" s="27">
        <v>0.15</v>
      </c>
    </row>
    <row r="235" spans="1:7" ht="14.25" customHeight="1" x14ac:dyDescent="0.3">
      <c r="A235" s="21" t="s">
        <v>189</v>
      </c>
      <c r="B235" s="22" t="s">
        <v>62</v>
      </c>
      <c r="C235" s="22" t="s">
        <v>102</v>
      </c>
      <c r="D235" s="22" t="s">
        <v>585</v>
      </c>
      <c r="E235" s="22">
        <v>3</v>
      </c>
      <c r="F235" s="22">
        <v>1897.65</v>
      </c>
      <c r="G235" s="27">
        <v>0</v>
      </c>
    </row>
    <row r="236" spans="1:7" ht="14.25" customHeight="1" x14ac:dyDescent="0.3">
      <c r="A236" s="21" t="s">
        <v>365</v>
      </c>
      <c r="B236" s="22" t="s">
        <v>79</v>
      </c>
      <c r="C236" s="22" t="s">
        <v>60</v>
      </c>
      <c r="D236" s="22" t="s">
        <v>514</v>
      </c>
      <c r="E236" s="22">
        <v>5</v>
      </c>
      <c r="F236" s="22">
        <v>2137.04</v>
      </c>
      <c r="G236" s="27">
        <v>0.05</v>
      </c>
    </row>
    <row r="237" spans="1:7" ht="14.25" customHeight="1" x14ac:dyDescent="0.3">
      <c r="A237" s="21" t="s">
        <v>287</v>
      </c>
      <c r="B237" s="22" t="s">
        <v>116</v>
      </c>
      <c r="C237" s="22" t="s">
        <v>155</v>
      </c>
      <c r="D237" s="22" t="s">
        <v>586</v>
      </c>
      <c r="E237" s="22">
        <v>8</v>
      </c>
      <c r="F237" s="22">
        <v>1838.9</v>
      </c>
      <c r="G237" s="27">
        <v>0</v>
      </c>
    </row>
    <row r="238" spans="1:7" ht="14.25" customHeight="1" x14ac:dyDescent="0.3">
      <c r="A238" s="21" t="s">
        <v>294</v>
      </c>
      <c r="B238" s="22" t="s">
        <v>76</v>
      </c>
      <c r="C238" s="22" t="s">
        <v>126</v>
      </c>
      <c r="D238" s="22" t="s">
        <v>587</v>
      </c>
      <c r="E238" s="22">
        <v>4</v>
      </c>
      <c r="F238" s="22">
        <v>1363.08</v>
      </c>
      <c r="G238" s="27">
        <v>0</v>
      </c>
    </row>
    <row r="239" spans="1:7" ht="14.25" customHeight="1" x14ac:dyDescent="0.3">
      <c r="A239" s="21" t="s">
        <v>322</v>
      </c>
      <c r="B239" s="22" t="s">
        <v>205</v>
      </c>
      <c r="C239" s="22" t="s">
        <v>99</v>
      </c>
      <c r="D239" s="22" t="s">
        <v>588</v>
      </c>
      <c r="E239" s="22">
        <v>8</v>
      </c>
      <c r="F239" s="22">
        <v>3454.78</v>
      </c>
      <c r="G239" s="27">
        <v>0</v>
      </c>
    </row>
    <row r="240" spans="1:7" ht="14.25" customHeight="1" x14ac:dyDescent="0.3">
      <c r="A240" s="21" t="s">
        <v>337</v>
      </c>
      <c r="B240" s="22" t="s">
        <v>110</v>
      </c>
      <c r="C240" s="22" t="s">
        <v>131</v>
      </c>
      <c r="D240" s="22" t="s">
        <v>436</v>
      </c>
      <c r="E240" s="22">
        <v>2</v>
      </c>
      <c r="F240" s="22">
        <v>2919.43</v>
      </c>
      <c r="G240" s="27">
        <v>0.15</v>
      </c>
    </row>
    <row r="241" spans="1:7" ht="14.25" customHeight="1" x14ac:dyDescent="0.3">
      <c r="A241" s="21" t="s">
        <v>302</v>
      </c>
      <c r="B241" s="22" t="s">
        <v>65</v>
      </c>
      <c r="C241" s="22" t="s">
        <v>91</v>
      </c>
      <c r="D241" s="22" t="s">
        <v>589</v>
      </c>
      <c r="E241" s="22">
        <v>1</v>
      </c>
      <c r="F241" s="22">
        <v>3887.92</v>
      </c>
      <c r="G241" s="27">
        <v>0</v>
      </c>
    </row>
    <row r="242" spans="1:7" ht="14.25" customHeight="1" x14ac:dyDescent="0.3">
      <c r="A242" s="21" t="s">
        <v>154</v>
      </c>
      <c r="B242" s="22" t="s">
        <v>104</v>
      </c>
      <c r="C242" s="22" t="s">
        <v>155</v>
      </c>
      <c r="D242" s="22" t="s">
        <v>590</v>
      </c>
      <c r="E242" s="22">
        <v>7</v>
      </c>
      <c r="F242" s="22">
        <v>1672.36</v>
      </c>
      <c r="G242" s="27">
        <v>0.1</v>
      </c>
    </row>
    <row r="243" spans="1:7" ht="14.25" customHeight="1" x14ac:dyDescent="0.3">
      <c r="A243" s="21" t="s">
        <v>320</v>
      </c>
      <c r="B243" s="22" t="s">
        <v>88</v>
      </c>
      <c r="C243" s="22" t="s">
        <v>163</v>
      </c>
      <c r="D243" s="22" t="s">
        <v>434</v>
      </c>
      <c r="E243" s="22">
        <v>4</v>
      </c>
      <c r="F243" s="22">
        <v>1723.74</v>
      </c>
      <c r="G243" s="27">
        <v>0.15</v>
      </c>
    </row>
    <row r="244" spans="1:7" ht="14.25" customHeight="1" x14ac:dyDescent="0.3">
      <c r="A244" s="21" t="s">
        <v>188</v>
      </c>
      <c r="B244" s="22" t="s">
        <v>71</v>
      </c>
      <c r="C244" s="22" t="s">
        <v>57</v>
      </c>
      <c r="D244" s="22" t="s">
        <v>591</v>
      </c>
      <c r="E244" s="22">
        <v>7</v>
      </c>
      <c r="F244" s="22">
        <v>1630.71</v>
      </c>
      <c r="G244" s="27">
        <v>0.2</v>
      </c>
    </row>
    <row r="245" spans="1:7" ht="14.25" customHeight="1" x14ac:dyDescent="0.3">
      <c r="A245" s="21" t="s">
        <v>204</v>
      </c>
      <c r="B245" s="22" t="s">
        <v>205</v>
      </c>
      <c r="C245" s="22" t="s">
        <v>102</v>
      </c>
      <c r="D245" s="22" t="s">
        <v>592</v>
      </c>
      <c r="E245" s="22">
        <v>1</v>
      </c>
      <c r="F245" s="22">
        <v>1844.4</v>
      </c>
      <c r="G245" s="27">
        <v>0.15</v>
      </c>
    </row>
    <row r="246" spans="1:7" ht="14.25" customHeight="1" x14ac:dyDescent="0.3">
      <c r="A246" s="21" t="s">
        <v>92</v>
      </c>
      <c r="B246" s="22" t="s">
        <v>93</v>
      </c>
      <c r="C246" s="22" t="s">
        <v>94</v>
      </c>
      <c r="D246" s="22" t="s">
        <v>489</v>
      </c>
      <c r="E246" s="22">
        <v>2</v>
      </c>
      <c r="F246" s="22">
        <v>1041.72</v>
      </c>
      <c r="G246" s="27">
        <v>0.2</v>
      </c>
    </row>
    <row r="247" spans="1:7" ht="14.25" customHeight="1" x14ac:dyDescent="0.3">
      <c r="A247" s="21" t="s">
        <v>307</v>
      </c>
      <c r="B247" s="22" t="s">
        <v>227</v>
      </c>
      <c r="C247" s="22" t="s">
        <v>172</v>
      </c>
      <c r="D247" s="22" t="s">
        <v>593</v>
      </c>
      <c r="E247" s="22"/>
      <c r="F247" s="22">
        <v>2078.63</v>
      </c>
      <c r="G247" s="27">
        <v>0</v>
      </c>
    </row>
    <row r="248" spans="1:7" ht="14.25" customHeight="1" x14ac:dyDescent="0.3">
      <c r="A248" s="21" t="s">
        <v>73</v>
      </c>
      <c r="B248" s="22" t="s">
        <v>59</v>
      </c>
      <c r="C248" s="22" t="s">
        <v>74</v>
      </c>
      <c r="D248" s="22" t="s">
        <v>563</v>
      </c>
      <c r="E248" s="22">
        <v>1</v>
      </c>
      <c r="F248" s="22">
        <v>351.56</v>
      </c>
      <c r="G248" s="27">
        <v>0</v>
      </c>
    </row>
    <row r="249" spans="1:7" ht="14.25" customHeight="1" x14ac:dyDescent="0.3">
      <c r="A249" s="21" t="s">
        <v>231</v>
      </c>
      <c r="B249" s="22" t="s">
        <v>101</v>
      </c>
      <c r="C249" s="22" t="s">
        <v>105</v>
      </c>
      <c r="D249" s="22" t="s">
        <v>474</v>
      </c>
      <c r="E249" s="22">
        <v>5</v>
      </c>
      <c r="F249" s="22">
        <v>455.77</v>
      </c>
      <c r="G249" s="27">
        <v>0</v>
      </c>
    </row>
    <row r="250" spans="1:7" ht="14.25" customHeight="1" x14ac:dyDescent="0.3">
      <c r="A250" s="21" t="s">
        <v>223</v>
      </c>
      <c r="B250" s="22" t="s">
        <v>93</v>
      </c>
      <c r="C250" s="22" t="s">
        <v>141</v>
      </c>
      <c r="D250" s="22" t="s">
        <v>506</v>
      </c>
      <c r="E250" s="22">
        <v>4</v>
      </c>
      <c r="F250" s="22">
        <v>2878.32</v>
      </c>
      <c r="G250" s="27">
        <v>0.15</v>
      </c>
    </row>
    <row r="251" spans="1:7" ht="14.25" customHeight="1" x14ac:dyDescent="0.3">
      <c r="A251" s="21" t="s">
        <v>246</v>
      </c>
      <c r="B251" s="22" t="s">
        <v>112</v>
      </c>
      <c r="C251" s="22" t="s">
        <v>172</v>
      </c>
      <c r="D251" s="22" t="s">
        <v>458</v>
      </c>
      <c r="E251" s="22">
        <v>4</v>
      </c>
      <c r="F251" s="22">
        <v>2376.58</v>
      </c>
      <c r="G251" s="27">
        <v>0.1</v>
      </c>
    </row>
    <row r="252" spans="1:7" ht="14.25" customHeight="1" x14ac:dyDescent="0.3">
      <c r="A252" s="21" t="s">
        <v>64</v>
      </c>
      <c r="B252" s="22" t="s">
        <v>65</v>
      </c>
      <c r="C252" s="22" t="s">
        <v>66</v>
      </c>
      <c r="D252" s="22" t="s">
        <v>594</v>
      </c>
      <c r="E252" s="22">
        <v>6</v>
      </c>
      <c r="F252" s="22">
        <v>1018.98</v>
      </c>
      <c r="G252" s="27">
        <v>0</v>
      </c>
    </row>
    <row r="253" spans="1:7" ht="14.25" customHeight="1" x14ac:dyDescent="0.3">
      <c r="A253" s="21" t="s">
        <v>370</v>
      </c>
      <c r="B253" s="22" t="s">
        <v>227</v>
      </c>
      <c r="C253" s="22" t="s">
        <v>120</v>
      </c>
      <c r="D253" s="22"/>
      <c r="E253" s="22">
        <v>3</v>
      </c>
      <c r="F253" s="22">
        <v>1479.93</v>
      </c>
      <c r="G253" s="27">
        <v>0</v>
      </c>
    </row>
    <row r="254" spans="1:7" ht="14.25" customHeight="1" x14ac:dyDescent="0.3">
      <c r="A254" s="21" t="s">
        <v>355</v>
      </c>
      <c r="B254" s="22" t="s">
        <v>96</v>
      </c>
      <c r="C254" s="22" t="s">
        <v>108</v>
      </c>
      <c r="D254" s="22" t="s">
        <v>595</v>
      </c>
      <c r="E254" s="22">
        <v>5</v>
      </c>
      <c r="F254" s="22">
        <v>986.01</v>
      </c>
      <c r="G254" s="27">
        <v>0</v>
      </c>
    </row>
    <row r="255" spans="1:7" ht="14.25" customHeight="1" x14ac:dyDescent="0.3">
      <c r="A255" s="21" t="s">
        <v>268</v>
      </c>
      <c r="B255" s="22" t="s">
        <v>112</v>
      </c>
      <c r="C255" s="22" t="s">
        <v>69</v>
      </c>
      <c r="D255" s="22" t="s">
        <v>430</v>
      </c>
      <c r="E255" s="22">
        <v>7</v>
      </c>
      <c r="F255" s="22">
        <v>930.65</v>
      </c>
      <c r="G255" s="27">
        <v>0.1</v>
      </c>
    </row>
    <row r="256" spans="1:7" ht="14.25" customHeight="1" x14ac:dyDescent="0.3">
      <c r="A256" s="21" t="s">
        <v>309</v>
      </c>
      <c r="B256" s="22" t="s">
        <v>205</v>
      </c>
      <c r="C256" s="22" t="s">
        <v>63</v>
      </c>
      <c r="D256" s="22" t="s">
        <v>596</v>
      </c>
      <c r="E256" s="22">
        <v>4</v>
      </c>
      <c r="F256" s="22">
        <v>980.04</v>
      </c>
      <c r="G256" s="27">
        <v>0</v>
      </c>
    </row>
    <row r="257" spans="1:7" ht="14.25" customHeight="1" x14ac:dyDescent="0.3">
      <c r="A257" s="21" t="s">
        <v>290</v>
      </c>
      <c r="B257" s="22" t="s">
        <v>93</v>
      </c>
      <c r="C257" s="22" t="s">
        <v>155</v>
      </c>
      <c r="D257" s="22" t="s">
        <v>597</v>
      </c>
      <c r="E257" s="22">
        <v>2</v>
      </c>
      <c r="F257" s="22">
        <v>1582.2</v>
      </c>
      <c r="G257" s="27">
        <v>0.15</v>
      </c>
    </row>
    <row r="258" spans="1:7" ht="14.25" customHeight="1" x14ac:dyDescent="0.3">
      <c r="A258" s="21" t="s">
        <v>285</v>
      </c>
      <c r="B258" s="22" t="s">
        <v>71</v>
      </c>
      <c r="C258" s="22" t="s">
        <v>60</v>
      </c>
      <c r="D258" s="22" t="s">
        <v>529</v>
      </c>
      <c r="E258" s="22">
        <v>3</v>
      </c>
      <c r="F258" s="22">
        <v>2312.09</v>
      </c>
      <c r="G258" s="27">
        <v>0</v>
      </c>
    </row>
    <row r="259" spans="1:7" ht="14.25" customHeight="1" x14ac:dyDescent="0.3">
      <c r="A259" s="21" t="s">
        <v>210</v>
      </c>
      <c r="B259" s="22" t="s">
        <v>59</v>
      </c>
      <c r="C259" s="22" t="s">
        <v>99</v>
      </c>
      <c r="D259" s="22" t="s">
        <v>598</v>
      </c>
      <c r="E259" s="22">
        <v>4</v>
      </c>
      <c r="F259" s="22">
        <v>3701.16</v>
      </c>
      <c r="G259" s="27">
        <v>0.05</v>
      </c>
    </row>
    <row r="260" spans="1:7" ht="14.25" customHeight="1" x14ac:dyDescent="0.3">
      <c r="A260" s="21" t="s">
        <v>260</v>
      </c>
      <c r="B260" s="22" t="s">
        <v>104</v>
      </c>
      <c r="C260" s="22" t="s">
        <v>66</v>
      </c>
      <c r="D260" s="22" t="s">
        <v>599</v>
      </c>
      <c r="E260" s="22">
        <v>3</v>
      </c>
      <c r="F260" s="22">
        <v>863.2</v>
      </c>
      <c r="G260" s="27">
        <v>0</v>
      </c>
    </row>
    <row r="261" spans="1:7" ht="14.25" customHeight="1" x14ac:dyDescent="0.3">
      <c r="A261" s="21" t="s">
        <v>253</v>
      </c>
      <c r="B261" s="22" t="s">
        <v>161</v>
      </c>
      <c r="C261" s="22" t="s">
        <v>94</v>
      </c>
      <c r="D261" s="22" t="s">
        <v>528</v>
      </c>
      <c r="E261" s="22">
        <v>4</v>
      </c>
      <c r="F261" s="22">
        <v>921.71</v>
      </c>
      <c r="G261" s="27">
        <v>0.2</v>
      </c>
    </row>
    <row r="262" spans="1:7" ht="14.25" customHeight="1" x14ac:dyDescent="0.3">
      <c r="A262" s="21" t="s">
        <v>198</v>
      </c>
      <c r="B262" s="22" t="s">
        <v>199</v>
      </c>
      <c r="C262" s="22" t="s">
        <v>108</v>
      </c>
      <c r="D262" s="22" t="s">
        <v>435</v>
      </c>
      <c r="E262" s="22">
        <v>3</v>
      </c>
      <c r="F262" s="22">
        <v>1122.03</v>
      </c>
      <c r="G262" s="27">
        <v>0.05</v>
      </c>
    </row>
    <row r="263" spans="1:7" ht="14.25" customHeight="1" x14ac:dyDescent="0.3">
      <c r="A263" s="21" t="s">
        <v>197</v>
      </c>
      <c r="B263" s="22" t="s">
        <v>93</v>
      </c>
      <c r="C263" s="22" t="s">
        <v>66</v>
      </c>
      <c r="D263" s="22" t="s">
        <v>545</v>
      </c>
      <c r="E263" s="22">
        <v>2</v>
      </c>
      <c r="F263" s="22">
        <v>1049.3499999999999</v>
      </c>
      <c r="G263" s="27">
        <v>0.15</v>
      </c>
    </row>
    <row r="264" spans="1:7" ht="14.25" customHeight="1" x14ac:dyDescent="0.3">
      <c r="A264" s="21" t="s">
        <v>186</v>
      </c>
      <c r="B264" s="22" t="s">
        <v>62</v>
      </c>
      <c r="C264" s="22" t="s">
        <v>117</v>
      </c>
      <c r="D264" s="22" t="s">
        <v>479</v>
      </c>
      <c r="E264" s="22">
        <v>5</v>
      </c>
      <c r="F264" s="22">
        <v>1352.69</v>
      </c>
      <c r="G264" s="27">
        <v>0.15</v>
      </c>
    </row>
    <row r="265" spans="1:7" ht="14.25" customHeight="1" x14ac:dyDescent="0.3">
      <c r="A265" s="21" t="s">
        <v>190</v>
      </c>
      <c r="B265" s="22" t="s">
        <v>65</v>
      </c>
      <c r="C265" s="22" t="s">
        <v>54</v>
      </c>
      <c r="D265" s="22" t="s">
        <v>600</v>
      </c>
      <c r="E265" s="22">
        <v>8</v>
      </c>
      <c r="F265" s="22">
        <v>3267.99</v>
      </c>
      <c r="G265" s="27">
        <v>0.2</v>
      </c>
    </row>
    <row r="266" spans="1:7" ht="14.25" customHeight="1" x14ac:dyDescent="0.3">
      <c r="A266" s="21" t="s">
        <v>239</v>
      </c>
      <c r="B266" s="22" t="s">
        <v>205</v>
      </c>
      <c r="C266" s="22" t="s">
        <v>120</v>
      </c>
      <c r="D266" s="22" t="s">
        <v>513</v>
      </c>
      <c r="E266" s="22">
        <v>8</v>
      </c>
      <c r="F266" s="22">
        <v>1541.25</v>
      </c>
      <c r="G266" s="27">
        <v>0</v>
      </c>
    </row>
    <row r="267" spans="1:7" ht="14.25" customHeight="1" x14ac:dyDescent="0.3">
      <c r="A267" s="21" t="s">
        <v>316</v>
      </c>
      <c r="B267" s="22" t="s">
        <v>79</v>
      </c>
      <c r="C267" s="22" t="s">
        <v>63</v>
      </c>
      <c r="D267" s="22" t="s">
        <v>497</v>
      </c>
      <c r="E267" s="22">
        <v>1</v>
      </c>
      <c r="F267" s="22">
        <v>1130.54</v>
      </c>
      <c r="G267" s="27">
        <v>0.1</v>
      </c>
    </row>
    <row r="268" spans="1:7" ht="14.25" customHeight="1" x14ac:dyDescent="0.3">
      <c r="A268" s="21" t="s">
        <v>312</v>
      </c>
      <c r="B268" s="22" t="s">
        <v>101</v>
      </c>
      <c r="C268" s="22" t="s">
        <v>69</v>
      </c>
      <c r="D268" s="22" t="s">
        <v>562</v>
      </c>
      <c r="E268" s="22">
        <v>7</v>
      </c>
      <c r="F268" s="22">
        <v>859.97</v>
      </c>
      <c r="G268" s="27">
        <v>0.15</v>
      </c>
    </row>
    <row r="269" spans="1:7" ht="14.25" customHeight="1" x14ac:dyDescent="0.3">
      <c r="A269" s="21" t="s">
        <v>78</v>
      </c>
      <c r="B269" s="22" t="s">
        <v>79</v>
      </c>
      <c r="C269" s="22" t="s">
        <v>80</v>
      </c>
      <c r="D269" s="22" t="s">
        <v>429</v>
      </c>
      <c r="E269" s="22">
        <v>1</v>
      </c>
      <c r="F269" s="22">
        <v>1787.75</v>
      </c>
      <c r="G269" s="27">
        <v>0</v>
      </c>
    </row>
    <row r="270" spans="1:7" ht="14.25" customHeight="1" x14ac:dyDescent="0.3">
      <c r="A270" s="21" t="s">
        <v>349</v>
      </c>
      <c r="B270" s="22" t="s">
        <v>68</v>
      </c>
      <c r="C270" s="22" t="s">
        <v>74</v>
      </c>
      <c r="D270" s="22" t="s">
        <v>601</v>
      </c>
      <c r="E270" s="22">
        <v>7</v>
      </c>
      <c r="F270" s="22">
        <v>304.18</v>
      </c>
      <c r="G270" s="27">
        <v>0.05</v>
      </c>
    </row>
    <row r="271" spans="1:7" ht="14.25" customHeight="1" x14ac:dyDescent="0.3">
      <c r="A271" s="21" t="s">
        <v>259</v>
      </c>
      <c r="B271" s="22" t="s">
        <v>53</v>
      </c>
      <c r="C271" s="22" t="s">
        <v>131</v>
      </c>
      <c r="D271" s="22" t="s">
        <v>602</v>
      </c>
      <c r="E271" s="22">
        <v>5</v>
      </c>
      <c r="F271" s="22">
        <v>3300.25</v>
      </c>
      <c r="G271" s="27">
        <v>0.05</v>
      </c>
    </row>
    <row r="272" spans="1:7" ht="14.25" customHeight="1" x14ac:dyDescent="0.3">
      <c r="A272" s="21" t="s">
        <v>371</v>
      </c>
      <c r="B272" s="22" t="s">
        <v>158</v>
      </c>
      <c r="C272" s="22" t="s">
        <v>91</v>
      </c>
      <c r="D272" s="22"/>
      <c r="E272" s="22">
        <v>2</v>
      </c>
      <c r="F272" s="22">
        <v>3096.59</v>
      </c>
      <c r="G272" s="27">
        <v>0.2</v>
      </c>
    </row>
    <row r="273" spans="1:7" ht="14.25" customHeight="1" x14ac:dyDescent="0.3">
      <c r="A273" s="21" t="s">
        <v>269</v>
      </c>
      <c r="B273" s="22" t="s">
        <v>104</v>
      </c>
      <c r="C273" s="22" t="s">
        <v>94</v>
      </c>
      <c r="D273" s="22" t="s">
        <v>430</v>
      </c>
      <c r="E273" s="22">
        <v>5</v>
      </c>
      <c r="F273" s="22">
        <v>1115.49</v>
      </c>
      <c r="G273" s="27">
        <v>0.05</v>
      </c>
    </row>
    <row r="274" spans="1:7" ht="14.25" customHeight="1" x14ac:dyDescent="0.3">
      <c r="A274" s="21" t="s">
        <v>242</v>
      </c>
      <c r="B274" s="22" t="s">
        <v>205</v>
      </c>
      <c r="C274" s="22" t="s">
        <v>117</v>
      </c>
      <c r="D274" s="22" t="s">
        <v>547</v>
      </c>
      <c r="E274" s="22">
        <v>8</v>
      </c>
      <c r="F274" s="22">
        <v>1560.3</v>
      </c>
      <c r="G274" s="27">
        <v>0.05</v>
      </c>
    </row>
    <row r="275" spans="1:7" ht="14.25" customHeight="1" x14ac:dyDescent="0.3">
      <c r="A275" s="21" t="s">
        <v>89</v>
      </c>
      <c r="B275" s="22" t="s">
        <v>90</v>
      </c>
      <c r="C275" s="22" t="s">
        <v>91</v>
      </c>
      <c r="D275" s="22" t="s">
        <v>559</v>
      </c>
      <c r="E275" s="22">
        <v>8</v>
      </c>
      <c r="F275" s="22">
        <v>3705.22</v>
      </c>
      <c r="G275" s="27">
        <v>0</v>
      </c>
    </row>
    <row r="276" spans="1:7" ht="14.25" customHeight="1" x14ac:dyDescent="0.3">
      <c r="A276" s="21" t="s">
        <v>143</v>
      </c>
      <c r="B276" s="22" t="s">
        <v>144</v>
      </c>
      <c r="C276" s="22" t="s">
        <v>108</v>
      </c>
      <c r="D276" s="22" t="s">
        <v>443</v>
      </c>
      <c r="E276" s="22">
        <v>6</v>
      </c>
      <c r="F276" s="22">
        <v>994.2</v>
      </c>
      <c r="G276" s="27">
        <v>0</v>
      </c>
    </row>
    <row r="277" spans="1:7" ht="14.25" customHeight="1" x14ac:dyDescent="0.3">
      <c r="A277" s="21" t="s">
        <v>346</v>
      </c>
      <c r="B277" s="22" t="s">
        <v>112</v>
      </c>
      <c r="C277" s="22" t="s">
        <v>54</v>
      </c>
      <c r="D277" s="22" t="s">
        <v>603</v>
      </c>
      <c r="E277" s="22">
        <v>5</v>
      </c>
      <c r="F277" s="22">
        <v>3109.87</v>
      </c>
      <c r="G277" s="27">
        <v>0</v>
      </c>
    </row>
    <row r="278" spans="1:7" ht="14.25" customHeight="1" x14ac:dyDescent="0.3">
      <c r="A278" s="21" t="s">
        <v>85</v>
      </c>
      <c r="B278" s="22" t="s">
        <v>79</v>
      </c>
      <c r="C278" s="22" t="s">
        <v>86</v>
      </c>
      <c r="D278" s="22" t="s">
        <v>604</v>
      </c>
      <c r="E278" s="22">
        <v>6</v>
      </c>
      <c r="F278" s="22">
        <v>3103.92</v>
      </c>
      <c r="G278" s="27">
        <v>0</v>
      </c>
    </row>
    <row r="279" spans="1:7" ht="14.25" customHeight="1" x14ac:dyDescent="0.3">
      <c r="A279" s="21" t="s">
        <v>235</v>
      </c>
      <c r="B279" s="22" t="s">
        <v>205</v>
      </c>
      <c r="C279" s="22" t="s">
        <v>63</v>
      </c>
      <c r="D279" s="22" t="s">
        <v>427</v>
      </c>
      <c r="E279" s="22">
        <v>7</v>
      </c>
      <c r="F279" s="22">
        <v>1145.1300000000001</v>
      </c>
      <c r="G279" s="27">
        <v>0.15</v>
      </c>
    </row>
    <row r="280" spans="1:7" ht="14.25" customHeight="1" x14ac:dyDescent="0.3">
      <c r="A280" s="21" t="s">
        <v>209</v>
      </c>
      <c r="B280" s="22" t="s">
        <v>65</v>
      </c>
      <c r="C280" s="22" t="s">
        <v>177</v>
      </c>
      <c r="D280" s="22" t="s">
        <v>605</v>
      </c>
      <c r="E280" s="22">
        <v>4</v>
      </c>
      <c r="F280" s="22">
        <v>1405.99</v>
      </c>
      <c r="G280" s="27">
        <v>0.1</v>
      </c>
    </row>
    <row r="281" spans="1:7" ht="14.25" customHeight="1" x14ac:dyDescent="0.3">
      <c r="A281" s="21" t="s">
        <v>156</v>
      </c>
      <c r="B281" s="22" t="s">
        <v>101</v>
      </c>
      <c r="C281" s="22" t="s">
        <v>117</v>
      </c>
      <c r="D281" s="22" t="s">
        <v>470</v>
      </c>
      <c r="E281" s="22">
        <v>2</v>
      </c>
      <c r="F281" s="22">
        <v>1366.06</v>
      </c>
      <c r="G281" s="27">
        <v>0</v>
      </c>
    </row>
    <row r="282" spans="1:7" ht="14.25" customHeight="1" x14ac:dyDescent="0.3">
      <c r="A282" s="21" t="s">
        <v>228</v>
      </c>
      <c r="B282" s="22" t="s">
        <v>123</v>
      </c>
      <c r="C282" s="22" t="s">
        <v>172</v>
      </c>
      <c r="D282" s="22" t="s">
        <v>433</v>
      </c>
      <c r="E282" s="22">
        <v>2</v>
      </c>
      <c r="F282" s="22">
        <v>2353.7399999999998</v>
      </c>
      <c r="G282" s="27">
        <v>0</v>
      </c>
    </row>
    <row r="283" spans="1:7" ht="16.2" customHeight="1" x14ac:dyDescent="0.4">
      <c r="A283" s="55" t="s">
        <v>606</v>
      </c>
      <c r="B283" s="56"/>
      <c r="C283" s="56"/>
      <c r="D283" s="44"/>
      <c r="E283" s="44"/>
      <c r="F283" s="44"/>
      <c r="G283" s="48"/>
    </row>
    <row r="284" spans="1:7" ht="16.2" customHeight="1" x14ac:dyDescent="0.4">
      <c r="A284" s="57" t="s">
        <v>607</v>
      </c>
      <c r="B284" s="56"/>
      <c r="C284" s="56"/>
      <c r="D284" s="44"/>
      <c r="E284" s="44"/>
      <c r="F284" s="44"/>
      <c r="G284" s="48"/>
    </row>
    <row r="285" spans="1:7" ht="16.8" customHeight="1" thickBot="1" x14ac:dyDescent="0.45">
      <c r="A285" s="58" t="s">
        <v>608</v>
      </c>
      <c r="B285" s="59"/>
      <c r="C285" s="59"/>
      <c r="D285" s="53"/>
      <c r="E285" s="53"/>
      <c r="F285" s="53"/>
      <c r="G285" s="54"/>
    </row>
  </sheetData>
  <mergeCells count="1">
    <mergeCell ref="A1:G1"/>
  </mergeCells>
  <conditionalFormatting sqref="A3:A282">
    <cfRule type="expression" dxfId="1" priority="3">
      <formula>COUNTIF($A$3:$A$282,A3)&gt;1</formula>
    </cfRule>
  </conditionalFormatting>
  <conditionalFormatting sqref="D3:G282">
    <cfRule type="expression" dxfId="0" priority="2">
      <formula>D3=""</formula>
    </cfRule>
  </conditionalFormatting>
  <printOptions horizontalCentered="1"/>
  <pageMargins left="0.25" right="0.25" top="0.35" bottom="0.35" header="0.15" footer="0.1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808080"/>
    <pageSetUpPr autoPageBreaks="0" fitToPage="1"/>
  </sheetPr>
  <dimension ref="A1:D11"/>
  <sheetViews>
    <sheetView showGridLines="0" zoomScaleNormal="100" workbookViewId="0">
      <selection activeCell="B16" sqref="B16"/>
    </sheetView>
  </sheetViews>
  <sheetFormatPr defaultColWidth="8.6640625" defaultRowHeight="14.4" x14ac:dyDescent="0.3"/>
  <cols>
    <col min="1" max="1" width="47.44140625" customWidth="1"/>
    <col min="2" max="2" width="17.21875" customWidth="1"/>
    <col min="3" max="3" width="13.21875" bestFit="1" customWidth="1"/>
    <col min="4" max="4" width="61.6640625" bestFit="1" customWidth="1"/>
  </cols>
  <sheetData>
    <row r="1" spans="1:4" ht="21" customHeight="1" x14ac:dyDescent="0.3">
      <c r="A1" s="123" t="s">
        <v>609</v>
      </c>
      <c r="B1" s="103"/>
      <c r="C1" s="103"/>
      <c r="D1" s="104"/>
    </row>
    <row r="2" spans="1:4" x14ac:dyDescent="0.3">
      <c r="A2" s="124" t="s">
        <v>610</v>
      </c>
      <c r="B2" s="111"/>
      <c r="C2" s="111"/>
      <c r="D2" s="106"/>
    </row>
    <row r="3" spans="1:4" x14ac:dyDescent="0.3">
      <c r="A3" s="6" t="s">
        <v>611</v>
      </c>
      <c r="B3" s="7" t="s">
        <v>612</v>
      </c>
      <c r="C3" s="7" t="s">
        <v>613</v>
      </c>
      <c r="D3" s="62" t="s">
        <v>614</v>
      </c>
    </row>
    <row r="4" spans="1:4" ht="19.8" customHeight="1" x14ac:dyDescent="0.3">
      <c r="A4" s="63" t="s">
        <v>615</v>
      </c>
      <c r="B4" s="60">
        <v>280</v>
      </c>
      <c r="C4" s="61" t="s">
        <v>616</v>
      </c>
      <c r="D4" s="87" t="s">
        <v>617</v>
      </c>
    </row>
    <row r="5" spans="1:4" ht="28.2" customHeight="1" x14ac:dyDescent="0.3">
      <c r="A5" s="63" t="s">
        <v>618</v>
      </c>
      <c r="B5" s="60">
        <v>14</v>
      </c>
      <c r="C5" s="61" t="s">
        <v>619</v>
      </c>
      <c r="D5" s="87" t="s">
        <v>620</v>
      </c>
    </row>
    <row r="6" spans="1:4" ht="55.2" customHeight="1" x14ac:dyDescent="0.3">
      <c r="A6" s="63" t="s">
        <v>621</v>
      </c>
      <c r="B6" s="60">
        <v>6</v>
      </c>
      <c r="C6" s="61" t="s">
        <v>622</v>
      </c>
      <c r="D6" s="87" t="s">
        <v>623</v>
      </c>
    </row>
    <row r="7" spans="1:4" ht="55.2" customHeight="1" x14ac:dyDescent="0.3">
      <c r="A7" s="63" t="s">
        <v>624</v>
      </c>
      <c r="B7" s="60">
        <v>5</v>
      </c>
      <c r="C7" s="61" t="s">
        <v>622</v>
      </c>
      <c r="D7" s="87" t="s">
        <v>625</v>
      </c>
    </row>
    <row r="8" spans="1:4" ht="36" customHeight="1" x14ac:dyDescent="0.3">
      <c r="A8" s="86" t="s">
        <v>626</v>
      </c>
      <c r="B8" s="60">
        <v>4</v>
      </c>
      <c r="C8" s="61" t="s">
        <v>627</v>
      </c>
      <c r="D8" s="87" t="s">
        <v>628</v>
      </c>
    </row>
    <row r="9" spans="1:4" ht="37.799999999999997" customHeight="1" x14ac:dyDescent="0.3">
      <c r="A9" s="63" t="s">
        <v>629</v>
      </c>
      <c r="B9" s="60">
        <v>4</v>
      </c>
      <c r="C9" s="61" t="s">
        <v>627</v>
      </c>
      <c r="D9" s="87" t="s">
        <v>630</v>
      </c>
    </row>
    <row r="10" spans="1:4" ht="37.799999999999997" customHeight="1" x14ac:dyDescent="0.3">
      <c r="A10" s="63" t="s">
        <v>631</v>
      </c>
      <c r="B10" s="60">
        <v>5</v>
      </c>
      <c r="C10" s="61" t="s">
        <v>627</v>
      </c>
      <c r="D10" s="87" t="s">
        <v>632</v>
      </c>
    </row>
    <row r="11" spans="1:4" ht="28.2" customHeight="1" thickBot="1" x14ac:dyDescent="0.35">
      <c r="A11" s="64" t="s">
        <v>633</v>
      </c>
      <c r="B11" s="65">
        <v>260</v>
      </c>
      <c r="C11" s="66" t="s">
        <v>634</v>
      </c>
      <c r="D11" s="88" t="s">
        <v>635</v>
      </c>
    </row>
  </sheetData>
  <mergeCells count="2">
    <mergeCell ref="A1:D1"/>
    <mergeCell ref="A2:D2"/>
  </mergeCells>
  <printOptions horizontalCentered="1"/>
  <pageMargins left="0.25" right="0.25" top="0.35" bottom="0.35" header="0.15" footer="0.1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autoPageBreaks="0" fitToPage="1"/>
  </sheetPr>
  <dimension ref="A1:E9"/>
  <sheetViews>
    <sheetView showGridLines="0" zoomScale="95" zoomScaleNormal="100" workbookViewId="0">
      <selection activeCell="I7" sqref="I7"/>
    </sheetView>
  </sheetViews>
  <sheetFormatPr defaultColWidth="8.6640625" defaultRowHeight="14.4" x14ac:dyDescent="0.3"/>
  <cols>
    <col min="1" max="1" width="9.88671875" bestFit="1" customWidth="1"/>
    <col min="2" max="2" width="19.109375" bestFit="1" customWidth="1"/>
    <col min="3" max="3" width="28.77734375" bestFit="1" customWidth="1"/>
    <col min="4" max="4" width="23.44140625" bestFit="1" customWidth="1"/>
    <col min="5" max="5" width="34.88671875" bestFit="1" customWidth="1"/>
  </cols>
  <sheetData>
    <row r="1" spans="1:5" ht="21" customHeight="1" x14ac:dyDescent="0.3">
      <c r="A1" s="126" t="s">
        <v>636</v>
      </c>
      <c r="B1" s="103"/>
      <c r="C1" s="103"/>
      <c r="D1" s="103"/>
      <c r="E1" s="104"/>
    </row>
    <row r="2" spans="1:5" x14ac:dyDescent="0.3">
      <c r="A2" s="125" t="s">
        <v>637</v>
      </c>
      <c r="B2" s="111"/>
      <c r="C2" s="111"/>
      <c r="D2" s="111"/>
      <c r="E2" s="106"/>
    </row>
    <row r="3" spans="1:5" x14ac:dyDescent="0.3">
      <c r="A3" s="71" t="s">
        <v>32</v>
      </c>
      <c r="B3" s="7" t="s">
        <v>638</v>
      </c>
      <c r="C3" s="7" t="s">
        <v>639</v>
      </c>
      <c r="D3" s="7" t="s">
        <v>613</v>
      </c>
      <c r="E3" s="8" t="s">
        <v>640</v>
      </c>
    </row>
    <row r="4" spans="1:5" x14ac:dyDescent="0.3">
      <c r="A4" s="67" t="s">
        <v>284</v>
      </c>
      <c r="B4" s="60" t="s">
        <v>641</v>
      </c>
      <c r="C4" s="60" t="s">
        <v>642</v>
      </c>
      <c r="D4" s="60" t="s">
        <v>643</v>
      </c>
      <c r="E4" s="68" t="s">
        <v>644</v>
      </c>
    </row>
    <row r="5" spans="1:5" x14ac:dyDescent="0.3">
      <c r="A5" s="67" t="s">
        <v>118</v>
      </c>
      <c r="B5" s="60" t="s">
        <v>641</v>
      </c>
      <c r="C5" s="60" t="s">
        <v>645</v>
      </c>
      <c r="D5" s="60" t="s">
        <v>643</v>
      </c>
      <c r="E5" s="68" t="s">
        <v>644</v>
      </c>
    </row>
    <row r="6" spans="1:5" x14ac:dyDescent="0.3">
      <c r="A6" s="67" t="s">
        <v>58</v>
      </c>
      <c r="B6" s="60" t="s">
        <v>641</v>
      </c>
      <c r="C6" s="60" t="s">
        <v>646</v>
      </c>
      <c r="D6" s="60" t="s">
        <v>643</v>
      </c>
      <c r="E6" s="68" t="s">
        <v>644</v>
      </c>
    </row>
    <row r="7" spans="1:5" x14ac:dyDescent="0.3">
      <c r="A7" s="67" t="s">
        <v>365</v>
      </c>
      <c r="B7" s="60" t="s">
        <v>641</v>
      </c>
      <c r="C7" s="60" t="s">
        <v>647</v>
      </c>
      <c r="D7" s="60" t="s">
        <v>643</v>
      </c>
      <c r="E7" s="68" t="s">
        <v>644</v>
      </c>
    </row>
    <row r="8" spans="1:5" x14ac:dyDescent="0.3">
      <c r="A8" s="67" t="s">
        <v>247</v>
      </c>
      <c r="B8" s="60" t="s">
        <v>641</v>
      </c>
      <c r="C8" s="60" t="s">
        <v>648</v>
      </c>
      <c r="D8" s="60" t="s">
        <v>643</v>
      </c>
      <c r="E8" s="68" t="s">
        <v>644</v>
      </c>
    </row>
    <row r="9" spans="1:5" ht="15" customHeight="1" thickBot="1" x14ac:dyDescent="0.35">
      <c r="A9" s="69" t="s">
        <v>312</v>
      </c>
      <c r="B9" s="65" t="s">
        <v>641</v>
      </c>
      <c r="C9" s="65" t="s">
        <v>649</v>
      </c>
      <c r="D9" s="65" t="s">
        <v>643</v>
      </c>
      <c r="E9" s="70" t="s">
        <v>644</v>
      </c>
    </row>
  </sheetData>
  <mergeCells count="2">
    <mergeCell ref="A2:E2"/>
    <mergeCell ref="A1:E1"/>
  </mergeCells>
  <printOptions horizontalCentered="1"/>
  <pageMargins left="0.25" right="0.25" top="0.35" bottom="0.35" header="0.15" footer="0.1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808080"/>
    <pageSetUpPr autoPageBreaks="0" fitToPage="1"/>
  </sheetPr>
  <dimension ref="A1:D31"/>
  <sheetViews>
    <sheetView showGridLines="0" zoomScaleNormal="100" workbookViewId="0">
      <pane ySplit="1" topLeftCell="A2" activePane="bottomLeft" state="frozen"/>
      <selection activeCell="I7" sqref="I7"/>
      <selection pane="bottomLeft" activeCell="I7" sqref="I7"/>
    </sheetView>
  </sheetViews>
  <sheetFormatPr defaultColWidth="8.6640625" defaultRowHeight="14.4" x14ac:dyDescent="0.3"/>
  <cols>
    <col min="1" max="1" width="12.5546875" customWidth="1"/>
    <col min="2" max="2" width="16.33203125" customWidth="1"/>
    <col min="3" max="3" width="10.6640625" customWidth="1"/>
    <col min="4" max="4" width="7.88671875" customWidth="1"/>
  </cols>
  <sheetData>
    <row r="1" spans="1:4" ht="14.25" customHeight="1" x14ac:dyDescent="0.3">
      <c r="A1" s="41" t="s">
        <v>33</v>
      </c>
      <c r="B1" s="42" t="s">
        <v>34</v>
      </c>
      <c r="C1" s="42" t="s">
        <v>650</v>
      </c>
      <c r="D1" s="43" t="s">
        <v>35</v>
      </c>
    </row>
    <row r="2" spans="1:4" ht="14.25" customHeight="1" x14ac:dyDescent="0.3">
      <c r="A2" s="21" t="s">
        <v>65</v>
      </c>
      <c r="B2" s="22" t="s">
        <v>651</v>
      </c>
      <c r="C2" s="22" t="s">
        <v>652</v>
      </c>
      <c r="D2" s="27" t="s">
        <v>383</v>
      </c>
    </row>
    <row r="3" spans="1:4" ht="14.25" customHeight="1" x14ac:dyDescent="0.3">
      <c r="A3" s="21" t="s">
        <v>199</v>
      </c>
      <c r="B3" s="22" t="s">
        <v>653</v>
      </c>
      <c r="C3" s="22" t="s">
        <v>654</v>
      </c>
      <c r="D3" s="27" t="s">
        <v>386</v>
      </c>
    </row>
    <row r="4" spans="1:4" ht="14.25" customHeight="1" x14ac:dyDescent="0.3">
      <c r="A4" s="21" t="s">
        <v>129</v>
      </c>
      <c r="B4" s="22" t="s">
        <v>655</v>
      </c>
      <c r="C4" s="22" t="s">
        <v>656</v>
      </c>
      <c r="D4" s="27" t="s">
        <v>383</v>
      </c>
    </row>
    <row r="5" spans="1:4" ht="14.25" customHeight="1" x14ac:dyDescent="0.3">
      <c r="A5" s="21" t="s">
        <v>110</v>
      </c>
      <c r="B5" s="22" t="s">
        <v>657</v>
      </c>
      <c r="C5" s="22" t="s">
        <v>658</v>
      </c>
      <c r="D5" s="27" t="s">
        <v>384</v>
      </c>
    </row>
    <row r="6" spans="1:4" ht="14.25" customHeight="1" x14ac:dyDescent="0.3">
      <c r="A6" s="21" t="s">
        <v>84</v>
      </c>
      <c r="B6" s="22" t="s">
        <v>659</v>
      </c>
      <c r="C6" s="22" t="s">
        <v>652</v>
      </c>
      <c r="D6" s="27" t="s">
        <v>383</v>
      </c>
    </row>
    <row r="7" spans="1:4" ht="14.25" customHeight="1" x14ac:dyDescent="0.3">
      <c r="A7" s="21" t="s">
        <v>144</v>
      </c>
      <c r="B7" s="22" t="s">
        <v>660</v>
      </c>
      <c r="C7" s="22" t="s">
        <v>661</v>
      </c>
      <c r="D7" s="27" t="s">
        <v>386</v>
      </c>
    </row>
    <row r="8" spans="1:4" ht="14.25" customHeight="1" x14ac:dyDescent="0.3">
      <c r="A8" s="21" t="s">
        <v>71</v>
      </c>
      <c r="B8" s="22" t="s">
        <v>662</v>
      </c>
      <c r="C8" s="22" t="s">
        <v>658</v>
      </c>
      <c r="D8" s="27" t="s">
        <v>384</v>
      </c>
    </row>
    <row r="9" spans="1:4" ht="14.25" customHeight="1" x14ac:dyDescent="0.3">
      <c r="A9" s="21" t="s">
        <v>116</v>
      </c>
      <c r="B9" s="22" t="s">
        <v>663</v>
      </c>
      <c r="C9" s="22" t="s">
        <v>664</v>
      </c>
      <c r="D9" s="27" t="s">
        <v>384</v>
      </c>
    </row>
    <row r="10" spans="1:4" ht="14.25" customHeight="1" x14ac:dyDescent="0.3">
      <c r="A10" s="21" t="s">
        <v>53</v>
      </c>
      <c r="B10" s="22" t="s">
        <v>665</v>
      </c>
      <c r="C10" s="22" t="s">
        <v>664</v>
      </c>
      <c r="D10" s="27" t="s">
        <v>384</v>
      </c>
    </row>
    <row r="11" spans="1:4" ht="14.25" customHeight="1" x14ac:dyDescent="0.3">
      <c r="A11" s="21" t="s">
        <v>79</v>
      </c>
      <c r="B11" s="22" t="s">
        <v>666</v>
      </c>
      <c r="C11" s="22" t="s">
        <v>652</v>
      </c>
      <c r="D11" s="27" t="s">
        <v>383</v>
      </c>
    </row>
    <row r="12" spans="1:4" ht="14.25" customHeight="1" x14ac:dyDescent="0.3">
      <c r="A12" s="21" t="s">
        <v>96</v>
      </c>
      <c r="B12" s="22" t="s">
        <v>667</v>
      </c>
      <c r="C12" s="22" t="s">
        <v>668</v>
      </c>
      <c r="D12" s="27" t="s">
        <v>385</v>
      </c>
    </row>
    <row r="13" spans="1:4" ht="14.25" customHeight="1" x14ac:dyDescent="0.3">
      <c r="A13" s="21" t="s">
        <v>227</v>
      </c>
      <c r="B13" s="22" t="s">
        <v>669</v>
      </c>
      <c r="C13" s="22" t="s">
        <v>670</v>
      </c>
      <c r="D13" s="27" t="s">
        <v>385</v>
      </c>
    </row>
    <row r="14" spans="1:4" ht="14.25" customHeight="1" x14ac:dyDescent="0.3">
      <c r="A14" s="21" t="s">
        <v>168</v>
      </c>
      <c r="B14" s="22" t="s">
        <v>671</v>
      </c>
      <c r="C14" s="22" t="s">
        <v>672</v>
      </c>
      <c r="D14" s="27" t="s">
        <v>383</v>
      </c>
    </row>
    <row r="15" spans="1:4" ht="14.25" customHeight="1" x14ac:dyDescent="0.3">
      <c r="A15" s="21" t="s">
        <v>76</v>
      </c>
      <c r="B15" s="22" t="s">
        <v>673</v>
      </c>
      <c r="C15" s="22" t="s">
        <v>664</v>
      </c>
      <c r="D15" s="27" t="s">
        <v>384</v>
      </c>
    </row>
    <row r="16" spans="1:4" ht="14.25" customHeight="1" x14ac:dyDescent="0.3">
      <c r="A16" s="21" t="s">
        <v>104</v>
      </c>
      <c r="B16" s="22" t="s">
        <v>674</v>
      </c>
      <c r="C16" s="22" t="s">
        <v>675</v>
      </c>
      <c r="D16" s="27" t="s">
        <v>387</v>
      </c>
    </row>
    <row r="17" spans="1:4" ht="14.25" customHeight="1" x14ac:dyDescent="0.3">
      <c r="A17" s="21" t="s">
        <v>62</v>
      </c>
      <c r="B17" s="22" t="s">
        <v>676</v>
      </c>
      <c r="C17" s="22" t="s">
        <v>677</v>
      </c>
      <c r="D17" s="27" t="s">
        <v>387</v>
      </c>
    </row>
    <row r="18" spans="1:4" ht="14.25" customHeight="1" x14ac:dyDescent="0.3">
      <c r="A18" s="21" t="s">
        <v>158</v>
      </c>
      <c r="B18" s="22" t="s">
        <v>678</v>
      </c>
      <c r="C18" s="22" t="s">
        <v>664</v>
      </c>
      <c r="D18" s="27" t="s">
        <v>384</v>
      </c>
    </row>
    <row r="19" spans="1:4" ht="14.25" customHeight="1" x14ac:dyDescent="0.3">
      <c r="A19" s="21" t="s">
        <v>88</v>
      </c>
      <c r="B19" s="22" t="s">
        <v>679</v>
      </c>
      <c r="C19" s="22" t="s">
        <v>652</v>
      </c>
      <c r="D19" s="27" t="s">
        <v>383</v>
      </c>
    </row>
    <row r="20" spans="1:4" ht="14.25" customHeight="1" x14ac:dyDescent="0.3">
      <c r="A20" s="21" t="s">
        <v>68</v>
      </c>
      <c r="B20" s="22" t="s">
        <v>680</v>
      </c>
      <c r="C20" s="22" t="s">
        <v>670</v>
      </c>
      <c r="D20" s="27" t="s">
        <v>385</v>
      </c>
    </row>
    <row r="21" spans="1:4" ht="14.25" customHeight="1" x14ac:dyDescent="0.3">
      <c r="A21" s="21" t="s">
        <v>112</v>
      </c>
      <c r="B21" s="22" t="s">
        <v>681</v>
      </c>
      <c r="C21" s="22" t="s">
        <v>672</v>
      </c>
      <c r="D21" s="27" t="s">
        <v>383</v>
      </c>
    </row>
    <row r="22" spans="1:4" ht="14.25" customHeight="1" x14ac:dyDescent="0.3">
      <c r="A22" s="21" t="s">
        <v>59</v>
      </c>
      <c r="B22" s="22" t="s">
        <v>682</v>
      </c>
      <c r="C22" s="22" t="s">
        <v>670</v>
      </c>
      <c r="D22" s="27" t="s">
        <v>385</v>
      </c>
    </row>
    <row r="23" spans="1:4" ht="14.25" customHeight="1" x14ac:dyDescent="0.3">
      <c r="A23" s="21" t="s">
        <v>205</v>
      </c>
      <c r="B23" s="22" t="s">
        <v>683</v>
      </c>
      <c r="C23" s="22" t="s">
        <v>661</v>
      </c>
      <c r="D23" s="27" t="s">
        <v>386</v>
      </c>
    </row>
    <row r="24" spans="1:4" ht="14.25" customHeight="1" x14ac:dyDescent="0.3">
      <c r="A24" s="21" t="s">
        <v>107</v>
      </c>
      <c r="B24" s="22" t="s">
        <v>684</v>
      </c>
      <c r="C24" s="22" t="s">
        <v>656</v>
      </c>
      <c r="D24" s="27" t="s">
        <v>383</v>
      </c>
    </row>
    <row r="25" spans="1:4" ht="14.25" customHeight="1" x14ac:dyDescent="0.3">
      <c r="A25" s="21" t="s">
        <v>123</v>
      </c>
      <c r="B25" s="22" t="s">
        <v>685</v>
      </c>
      <c r="C25" s="22" t="s">
        <v>675</v>
      </c>
      <c r="D25" s="27" t="s">
        <v>384</v>
      </c>
    </row>
    <row r="26" spans="1:4" ht="14.25" customHeight="1" x14ac:dyDescent="0.3">
      <c r="A26" s="21" t="s">
        <v>90</v>
      </c>
      <c r="B26" s="22" t="s">
        <v>686</v>
      </c>
      <c r="C26" s="22" t="s">
        <v>687</v>
      </c>
      <c r="D26" s="27" t="s">
        <v>387</v>
      </c>
    </row>
    <row r="27" spans="1:4" ht="14.25" customHeight="1" x14ac:dyDescent="0.3">
      <c r="A27" s="21" t="s">
        <v>161</v>
      </c>
      <c r="B27" s="22" t="s">
        <v>688</v>
      </c>
      <c r="C27" s="22" t="s">
        <v>658</v>
      </c>
      <c r="D27" s="27" t="s">
        <v>384</v>
      </c>
    </row>
    <row r="28" spans="1:4" ht="14.25" customHeight="1" x14ac:dyDescent="0.3">
      <c r="A28" s="21" t="s">
        <v>153</v>
      </c>
      <c r="B28" s="22" t="s">
        <v>689</v>
      </c>
      <c r="C28" s="22" t="s">
        <v>652</v>
      </c>
      <c r="D28" s="27" t="s">
        <v>383</v>
      </c>
    </row>
    <row r="29" spans="1:4" ht="14.25" customHeight="1" x14ac:dyDescent="0.3">
      <c r="A29" s="21" t="s">
        <v>101</v>
      </c>
      <c r="B29" s="22" t="s">
        <v>690</v>
      </c>
      <c r="C29" s="22" t="s">
        <v>668</v>
      </c>
      <c r="D29" s="27" t="s">
        <v>385</v>
      </c>
    </row>
    <row r="30" spans="1:4" ht="14.25" customHeight="1" x14ac:dyDescent="0.3">
      <c r="A30" s="21" t="s">
        <v>93</v>
      </c>
      <c r="B30" s="22" t="s">
        <v>691</v>
      </c>
      <c r="C30" s="22" t="s">
        <v>661</v>
      </c>
      <c r="D30" s="27" t="s">
        <v>386</v>
      </c>
    </row>
    <row r="31" spans="1:4" ht="15" customHeight="1" x14ac:dyDescent="0.3">
      <c r="A31" s="28" t="s">
        <v>56</v>
      </c>
      <c r="B31" s="29" t="s">
        <v>692</v>
      </c>
      <c r="C31" s="29" t="s">
        <v>670</v>
      </c>
      <c r="D31" s="34" t="s">
        <v>385</v>
      </c>
    </row>
  </sheetData>
  <printOptions horizontalCentered="1"/>
  <pageMargins left="0.25" right="0.25" top="0.35" bottom="0.35" header="0.15" footer="0.1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808080"/>
    <pageSetUpPr autoPageBreaks="0" fitToPage="1"/>
  </sheetPr>
  <dimension ref="A1:D31"/>
  <sheetViews>
    <sheetView showGridLines="0" zoomScaleNormal="100" workbookViewId="0">
      <pane ySplit="1" topLeftCell="A2" activePane="bottomLeft" state="frozen"/>
      <selection activeCell="I7" sqref="I7"/>
      <selection pane="bottomLeft" activeCell="G18" sqref="G18"/>
    </sheetView>
  </sheetViews>
  <sheetFormatPr defaultColWidth="8.6640625" defaultRowHeight="14.4" x14ac:dyDescent="0.3"/>
  <cols>
    <col min="1" max="1" width="10.5546875" customWidth="1"/>
    <col min="2" max="2" width="15.88671875" customWidth="1"/>
    <col min="3" max="3" width="14.21875" customWidth="1"/>
    <col min="4" max="4" width="10.44140625" customWidth="1"/>
  </cols>
  <sheetData>
    <row r="1" spans="1:4" ht="14.25" customHeight="1" x14ac:dyDescent="0.3">
      <c r="A1" s="41" t="s">
        <v>36</v>
      </c>
      <c r="B1" s="42" t="s">
        <v>37</v>
      </c>
      <c r="C1" s="42" t="s">
        <v>38</v>
      </c>
      <c r="D1" s="43" t="s">
        <v>46</v>
      </c>
    </row>
    <row r="2" spans="1:4" ht="14.25" customHeight="1" x14ac:dyDescent="0.3">
      <c r="A2" s="21" t="s">
        <v>126</v>
      </c>
      <c r="B2" s="22" t="s">
        <v>693</v>
      </c>
      <c r="C2" s="22" t="s">
        <v>391</v>
      </c>
      <c r="D2" s="89">
        <v>1037.43</v>
      </c>
    </row>
    <row r="3" spans="1:4" ht="14.25" customHeight="1" x14ac:dyDescent="0.3">
      <c r="A3" s="21" t="s">
        <v>54</v>
      </c>
      <c r="B3" s="22" t="s">
        <v>694</v>
      </c>
      <c r="C3" s="22" t="s">
        <v>391</v>
      </c>
      <c r="D3" s="89">
        <v>2293.21</v>
      </c>
    </row>
    <row r="4" spans="1:4" ht="14.25" customHeight="1" x14ac:dyDescent="0.3">
      <c r="A4" s="21" t="s">
        <v>57</v>
      </c>
      <c r="B4" s="22" t="s">
        <v>695</v>
      </c>
      <c r="C4" s="22" t="s">
        <v>391</v>
      </c>
      <c r="D4" s="89">
        <v>1190.42</v>
      </c>
    </row>
    <row r="5" spans="1:4" ht="14.25" customHeight="1" x14ac:dyDescent="0.3">
      <c r="A5" s="21" t="s">
        <v>63</v>
      </c>
      <c r="B5" s="22" t="s">
        <v>696</v>
      </c>
      <c r="C5" s="22" t="s">
        <v>391</v>
      </c>
      <c r="D5" s="89">
        <v>721.01</v>
      </c>
    </row>
    <row r="6" spans="1:4" ht="14.25" customHeight="1" x14ac:dyDescent="0.3">
      <c r="A6" s="21" t="s">
        <v>66</v>
      </c>
      <c r="B6" s="22" t="s">
        <v>697</v>
      </c>
      <c r="C6" s="22" t="s">
        <v>391</v>
      </c>
      <c r="D6" s="89">
        <v>676.84</v>
      </c>
    </row>
    <row r="7" spans="1:4" ht="14.25" customHeight="1" x14ac:dyDescent="0.3">
      <c r="A7" s="21" t="s">
        <v>97</v>
      </c>
      <c r="B7" s="22" t="s">
        <v>698</v>
      </c>
      <c r="C7" s="22" t="s">
        <v>390</v>
      </c>
      <c r="D7" s="89">
        <v>1438.51</v>
      </c>
    </row>
    <row r="8" spans="1:4" ht="14.25" customHeight="1" x14ac:dyDescent="0.3">
      <c r="A8" s="21" t="s">
        <v>108</v>
      </c>
      <c r="B8" s="22" t="s">
        <v>699</v>
      </c>
      <c r="C8" s="22" t="s">
        <v>390</v>
      </c>
      <c r="D8" s="89">
        <v>715.83</v>
      </c>
    </row>
    <row r="9" spans="1:4" ht="14.25" customHeight="1" x14ac:dyDescent="0.3">
      <c r="A9" s="21" t="s">
        <v>163</v>
      </c>
      <c r="B9" s="22" t="s">
        <v>700</v>
      </c>
      <c r="C9" s="22" t="s">
        <v>390</v>
      </c>
      <c r="D9" s="89">
        <v>1494.7</v>
      </c>
    </row>
    <row r="10" spans="1:4" ht="14.25" customHeight="1" x14ac:dyDescent="0.3">
      <c r="A10" s="21" t="s">
        <v>82</v>
      </c>
      <c r="B10" s="22" t="s">
        <v>701</v>
      </c>
      <c r="C10" s="22" t="s">
        <v>390</v>
      </c>
      <c r="D10" s="89">
        <v>2252.73</v>
      </c>
    </row>
    <row r="11" spans="1:4" ht="14.25" customHeight="1" x14ac:dyDescent="0.3">
      <c r="A11" s="21" t="s">
        <v>177</v>
      </c>
      <c r="B11" s="22" t="s">
        <v>702</v>
      </c>
      <c r="C11" s="22" t="s">
        <v>390</v>
      </c>
      <c r="D11" s="89">
        <v>1046.55</v>
      </c>
    </row>
    <row r="12" spans="1:4" ht="14.25" customHeight="1" x14ac:dyDescent="0.3">
      <c r="A12" s="21" t="s">
        <v>69</v>
      </c>
      <c r="B12" s="22" t="s">
        <v>703</v>
      </c>
      <c r="C12" s="22" t="s">
        <v>392</v>
      </c>
      <c r="D12" s="89">
        <v>610.76</v>
      </c>
    </row>
    <row r="13" spans="1:4" ht="14.25" customHeight="1" x14ac:dyDescent="0.3">
      <c r="A13" s="21" t="s">
        <v>86</v>
      </c>
      <c r="B13" s="22" t="s">
        <v>704</v>
      </c>
      <c r="C13" s="22" t="s">
        <v>392</v>
      </c>
      <c r="D13" s="89">
        <v>2494.04</v>
      </c>
    </row>
    <row r="14" spans="1:4" ht="14.25" customHeight="1" x14ac:dyDescent="0.3">
      <c r="A14" s="21" t="s">
        <v>102</v>
      </c>
      <c r="B14" s="22" t="s">
        <v>705</v>
      </c>
      <c r="C14" s="22" t="s">
        <v>392</v>
      </c>
      <c r="D14" s="89">
        <v>1313.05</v>
      </c>
    </row>
    <row r="15" spans="1:4" ht="14.25" customHeight="1" x14ac:dyDescent="0.3">
      <c r="A15" s="21" t="s">
        <v>105</v>
      </c>
      <c r="B15" s="22" t="s">
        <v>706</v>
      </c>
      <c r="C15" s="22" t="s">
        <v>392</v>
      </c>
      <c r="D15" s="89">
        <v>300</v>
      </c>
    </row>
    <row r="16" spans="1:4" ht="14.25" customHeight="1" x14ac:dyDescent="0.3">
      <c r="A16" s="21" t="s">
        <v>146</v>
      </c>
      <c r="B16" s="22" t="s">
        <v>707</v>
      </c>
      <c r="C16" s="22" t="s">
        <v>392</v>
      </c>
      <c r="D16" s="89">
        <v>194.02</v>
      </c>
    </row>
    <row r="17" spans="1:4" ht="14.25" customHeight="1" x14ac:dyDescent="0.3">
      <c r="A17" s="21" t="s">
        <v>77</v>
      </c>
      <c r="B17" s="22" t="s">
        <v>708</v>
      </c>
      <c r="C17" s="22" t="s">
        <v>393</v>
      </c>
      <c r="D17" s="89">
        <v>345.35</v>
      </c>
    </row>
    <row r="18" spans="1:4" ht="14.25" customHeight="1" x14ac:dyDescent="0.3">
      <c r="A18" s="21" t="s">
        <v>60</v>
      </c>
      <c r="B18" s="22" t="s">
        <v>709</v>
      </c>
      <c r="C18" s="22" t="s">
        <v>393</v>
      </c>
      <c r="D18" s="89">
        <v>1598.42</v>
      </c>
    </row>
    <row r="19" spans="1:4" ht="14.25" customHeight="1" x14ac:dyDescent="0.3">
      <c r="A19" s="21" t="s">
        <v>141</v>
      </c>
      <c r="B19" s="22" t="s">
        <v>710</v>
      </c>
      <c r="C19" s="22" t="s">
        <v>393</v>
      </c>
      <c r="D19" s="89">
        <v>1996.83</v>
      </c>
    </row>
    <row r="20" spans="1:4" ht="14.25" customHeight="1" x14ac:dyDescent="0.3">
      <c r="A20" s="21" t="s">
        <v>120</v>
      </c>
      <c r="B20" s="22" t="s">
        <v>711</v>
      </c>
      <c r="C20" s="22" t="s">
        <v>393</v>
      </c>
      <c r="D20" s="89">
        <v>1101.6300000000001</v>
      </c>
    </row>
    <row r="21" spans="1:4" ht="14.25" customHeight="1" x14ac:dyDescent="0.3">
      <c r="A21" s="21" t="s">
        <v>74</v>
      </c>
      <c r="B21" s="22" t="s">
        <v>712</v>
      </c>
      <c r="C21" s="22" t="s">
        <v>393</v>
      </c>
      <c r="D21" s="89">
        <v>233.74</v>
      </c>
    </row>
    <row r="22" spans="1:4" ht="14.25" customHeight="1" x14ac:dyDescent="0.3">
      <c r="A22" s="21" t="s">
        <v>117</v>
      </c>
      <c r="B22" s="22" t="s">
        <v>713</v>
      </c>
      <c r="C22" s="22" t="s">
        <v>389</v>
      </c>
      <c r="D22" s="89">
        <v>1003.52</v>
      </c>
    </row>
    <row r="23" spans="1:4" ht="14.25" customHeight="1" x14ac:dyDescent="0.3">
      <c r="A23" s="21" t="s">
        <v>99</v>
      </c>
      <c r="B23" s="22" t="s">
        <v>714</v>
      </c>
      <c r="C23" s="22" t="s">
        <v>389</v>
      </c>
      <c r="D23" s="89">
        <v>2490.61</v>
      </c>
    </row>
    <row r="24" spans="1:4" ht="14.25" customHeight="1" x14ac:dyDescent="0.3">
      <c r="A24" s="21" t="s">
        <v>155</v>
      </c>
      <c r="B24" s="22" t="s">
        <v>715</v>
      </c>
      <c r="C24" s="22" t="s">
        <v>389</v>
      </c>
      <c r="D24" s="89">
        <v>1360.46</v>
      </c>
    </row>
    <row r="25" spans="1:4" ht="14.25" customHeight="1" x14ac:dyDescent="0.3">
      <c r="A25" s="21" t="s">
        <v>91</v>
      </c>
      <c r="B25" s="22" t="s">
        <v>716</v>
      </c>
      <c r="C25" s="22" t="s">
        <v>389</v>
      </c>
      <c r="D25" s="89">
        <v>2430.0100000000002</v>
      </c>
    </row>
    <row r="26" spans="1:4" ht="14.25" customHeight="1" x14ac:dyDescent="0.3">
      <c r="A26" s="21" t="s">
        <v>131</v>
      </c>
      <c r="B26" s="22" t="s">
        <v>717</v>
      </c>
      <c r="C26" s="22" t="s">
        <v>389</v>
      </c>
      <c r="D26" s="89">
        <v>2163.09</v>
      </c>
    </row>
    <row r="27" spans="1:4" ht="14.25" customHeight="1" x14ac:dyDescent="0.3">
      <c r="A27" s="21" t="s">
        <v>135</v>
      </c>
      <c r="B27" s="22" t="s">
        <v>718</v>
      </c>
      <c r="C27" s="22" t="s">
        <v>394</v>
      </c>
      <c r="D27" s="89">
        <v>107.78</v>
      </c>
    </row>
    <row r="28" spans="1:4" ht="14.25" customHeight="1" x14ac:dyDescent="0.3">
      <c r="A28" s="21" t="s">
        <v>72</v>
      </c>
      <c r="B28" s="22" t="s">
        <v>719</v>
      </c>
      <c r="C28" s="22" t="s">
        <v>394</v>
      </c>
      <c r="D28" s="89">
        <v>1824.15</v>
      </c>
    </row>
    <row r="29" spans="1:4" ht="14.25" customHeight="1" x14ac:dyDescent="0.3">
      <c r="A29" s="21" t="s">
        <v>172</v>
      </c>
      <c r="B29" s="22" t="s">
        <v>720</v>
      </c>
      <c r="C29" s="22" t="s">
        <v>394</v>
      </c>
      <c r="D29" s="89">
        <v>1729.74</v>
      </c>
    </row>
    <row r="30" spans="1:4" ht="14.25" customHeight="1" x14ac:dyDescent="0.3">
      <c r="A30" s="21" t="s">
        <v>80</v>
      </c>
      <c r="B30" s="22" t="s">
        <v>721</v>
      </c>
      <c r="C30" s="22" t="s">
        <v>394</v>
      </c>
      <c r="D30" s="89">
        <v>1379.47</v>
      </c>
    </row>
    <row r="31" spans="1:4" ht="14.25" customHeight="1" thickBot="1" x14ac:dyDescent="0.35">
      <c r="A31" s="28" t="s">
        <v>94</v>
      </c>
      <c r="B31" s="29" t="s">
        <v>722</v>
      </c>
      <c r="C31" s="29" t="s">
        <v>394</v>
      </c>
      <c r="D31" s="90">
        <v>725.72</v>
      </c>
    </row>
  </sheetData>
  <printOptions horizontalCentered="1"/>
  <pageMargins left="0.25" right="0.25" top="0.35" bottom="0.35" header="0.15" footer="0.1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README</vt:lpstr>
      <vt:lpstr>Dashboard</vt:lpstr>
      <vt:lpstr>Cleaned_Data</vt:lpstr>
      <vt:lpstr>Analysis</vt:lpstr>
      <vt:lpstr>Raw_Data</vt:lpstr>
      <vt:lpstr>Cleaning_Log</vt:lpstr>
      <vt:lpstr>Exceptions_Log</vt:lpstr>
      <vt:lpstr>Customers</vt:lpstr>
      <vt:lpstr>Products</vt:lpstr>
      <vt:lpstr>Analysis!Print_Area</vt:lpstr>
      <vt:lpstr>Cleaned_Data!Print_Area</vt:lpstr>
      <vt:lpstr>Cleaning_Log!Print_Area</vt:lpstr>
      <vt:lpstr>Customers!Print_Area</vt:lpstr>
      <vt:lpstr>Dashboard!Print_Area</vt:lpstr>
      <vt:lpstr>Exceptions_Log!Print_Area</vt:lpstr>
      <vt:lpstr>Products!Print_Area</vt:lpstr>
      <vt:lpstr>Raw_Data!Print_Area</vt:lpstr>
      <vt:lpstr>README!Print_Area</vt:lpstr>
      <vt:lpstr>Cleaned_Data!Print_Titles</vt:lpstr>
      <vt:lpstr>Raw_Data!Print_Titles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Sharik</cp:lastModifiedBy>
  <cp:revision>5</cp:revision>
  <cp:lastPrinted>2026-09-17T08:46:12Z</cp:lastPrinted>
  <dcterms:created xsi:type="dcterms:W3CDTF">2026-09-12T12:33:55Z</dcterms:created>
  <dcterms:modified xsi:type="dcterms:W3CDTF">2026-09-18T10:12:48Z</dcterms:modified>
  <dc:language>en-US</dc:language>
</cp:coreProperties>
</file>